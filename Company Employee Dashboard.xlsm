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12" codeName="{1BF75E64-36B4-4512-B9E4-3ED0869CA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asip\Desktop\EXCEL egitim\Excel Dashboard Projects\"/>
    </mc:Choice>
  </mc:AlternateContent>
  <xr:revisionPtr revIDLastSave="0" documentId="13_ncr:1_{8B9FD1C5-2782-41BB-BCAC-6704E62A153C}" xr6:coauthVersionLast="47" xr6:coauthVersionMax="47" xr10:uidLastSave="{00000000-0000-0000-0000-000000000000}"/>
  <bookViews>
    <workbookView showHorizontalScroll="0" showVerticalScroll="0" showSheetTabs="0" xWindow="-120" yWindow="-120" windowWidth="29040" windowHeight="16440" firstSheet="1" activeTab="1" xr2:uid="{00000000-000D-0000-FFFF-FFFF00000000}"/>
  </bookViews>
  <sheets>
    <sheet name="Count Child" sheetId="22" r:id="rId1"/>
    <sheet name="Dashboard" sheetId="20" r:id="rId2"/>
    <sheet name="Data" sheetId="1" r:id="rId3"/>
    <sheet name="Salary Department" sheetId="23" r:id="rId4"/>
    <sheet name="rank for sallary" sheetId="25" r:id="rId5"/>
    <sheet name="Top 10 Salary" sheetId="24" r:id="rId6"/>
    <sheet name="Map" sheetId="27" r:id="rId7"/>
    <sheet name="WorkSheet" sheetId="21" r:id="rId8"/>
  </sheets>
  <definedNames>
    <definedName name="_xlnm._FilterDatabase" localSheetId="2" hidden="1">Data!$A$1:$L$514</definedName>
    <definedName name="_xlchart.v5.0" hidden="1">WorkSheet!$R$1:$R$50</definedName>
    <definedName name="_xlchart.v5.1" hidden="1">WorkSheet!$S$1:$S$50</definedName>
    <definedName name="_xlcn.WorksheetConnection_datatable1" hidden="1">datatable[]</definedName>
    <definedName name="employes">WorkSheet!$A$2:$A$398</definedName>
  </definedNames>
  <calcPr calcId="191029"/>
  <pivotCaches>
    <pivotCache cacheId="0" r:id="rId9"/>
  </pivotCaches>
  <extLst>
    <ext xmlns:x15="http://schemas.microsoft.com/office/spreadsheetml/2010/11/main" uri="{FCE2AD5D-F65C-4FA6-A056-5C36A1767C68}">
      <x15:dataModel>
        <x15:modelTables>
          <x15:modelTable id="datatable" name="datatable" connection="WorksheetConnection_datatab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9" i="21" l="1" a="1"/>
  <c r="K39" i="21" s="1"/>
  <c r="I39" i="21" a="1"/>
  <c r="I39" i="21" s="1"/>
  <c r="H39" i="21"/>
  <c r="P6" i="21" l="1"/>
  <c r="O6" i="21"/>
  <c r="N6" i="21"/>
  <c r="M6" i="21"/>
  <c r="L6" i="21"/>
  <c r="K6" i="21"/>
  <c r="F16" i="21" s="1"/>
  <c r="H16" i="21" s="1"/>
  <c r="J6" i="21"/>
  <c r="G6" i="21"/>
  <c r="I6" i="21"/>
  <c r="A2" i="21" a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2" i="1"/>
  <c r="A2" i="21" l="1"/>
  <c r="B2" i="21" s="1"/>
  <c r="B3" i="21"/>
  <c r="B11" i="21"/>
  <c r="B19" i="21"/>
  <c r="B27" i="21"/>
  <c r="B35" i="21"/>
  <c r="B43" i="21"/>
  <c r="B51" i="21"/>
  <c r="B59" i="21"/>
  <c r="B67" i="21"/>
  <c r="B75" i="21"/>
  <c r="B83" i="21"/>
  <c r="B91" i="21"/>
  <c r="B99" i="21"/>
  <c r="B107" i="21"/>
  <c r="B115" i="21"/>
  <c r="B123" i="21"/>
  <c r="B131" i="21"/>
  <c r="B139" i="21"/>
  <c r="B147" i="21"/>
  <c r="B155" i="21"/>
  <c r="B163" i="21"/>
  <c r="B171" i="21"/>
  <c r="B179" i="21"/>
  <c r="B187" i="21"/>
  <c r="B195" i="21"/>
  <c r="B203" i="21"/>
  <c r="B211" i="21"/>
  <c r="B219" i="21"/>
  <c r="B227" i="21"/>
  <c r="B235" i="21"/>
  <c r="B243" i="21"/>
  <c r="B251" i="21"/>
  <c r="B259" i="21"/>
  <c r="B267" i="21"/>
  <c r="B275" i="21"/>
  <c r="B283" i="21"/>
  <c r="B291" i="21"/>
  <c r="B299" i="21"/>
  <c r="B307" i="21"/>
  <c r="B315" i="21"/>
  <c r="B323" i="21"/>
  <c r="B331" i="21"/>
  <c r="B339" i="21"/>
  <c r="B347" i="21"/>
  <c r="B355" i="21"/>
  <c r="B363" i="21"/>
  <c r="B371" i="21"/>
  <c r="B379" i="21"/>
  <c r="B387" i="21"/>
  <c r="B395" i="21"/>
  <c r="B12" i="21"/>
  <c r="B20" i="21"/>
  <c r="B28" i="21"/>
  <c r="B36" i="21"/>
  <c r="B44" i="21"/>
  <c r="B52" i="21"/>
  <c r="B60" i="21"/>
  <c r="B68" i="21"/>
  <c r="B76" i="21"/>
  <c r="B84" i="21"/>
  <c r="B92" i="21"/>
  <c r="B100" i="21"/>
  <c r="B108" i="21"/>
  <c r="B124" i="21"/>
  <c r="B132" i="21"/>
  <c r="B140" i="21"/>
  <c r="B148" i="21"/>
  <c r="B156" i="21"/>
  <c r="B172" i="21"/>
  <c r="B188" i="21"/>
  <c r="B204" i="21"/>
  <c r="B220" i="21"/>
  <c r="B228" i="21"/>
  <c r="B244" i="21"/>
  <c r="B260" i="21"/>
  <c r="B276" i="21"/>
  <c r="B284" i="21"/>
  <c r="B300" i="21"/>
  <c r="B316" i="21"/>
  <c r="B332" i="21"/>
  <c r="B340" i="21"/>
  <c r="B356" i="21"/>
  <c r="B372" i="21"/>
  <c r="B388" i="21"/>
  <c r="B7" i="21"/>
  <c r="B4" i="21"/>
  <c r="B116" i="21"/>
  <c r="B164" i="21"/>
  <c r="B180" i="21"/>
  <c r="B196" i="21"/>
  <c r="B212" i="21"/>
  <c r="B236" i="21"/>
  <c r="B252" i="21"/>
  <c r="B268" i="21"/>
  <c r="B292" i="21"/>
  <c r="B308" i="21"/>
  <c r="B324" i="21"/>
  <c r="B348" i="21"/>
  <c r="B364" i="21"/>
  <c r="B380" i="21"/>
  <c r="B396" i="21"/>
  <c r="B23" i="21"/>
  <c r="B5" i="21"/>
  <c r="B13" i="21"/>
  <c r="B21" i="21"/>
  <c r="B29" i="21"/>
  <c r="B37" i="21"/>
  <c r="B45" i="21"/>
  <c r="B53" i="21"/>
  <c r="B61" i="21"/>
  <c r="B69" i="21"/>
  <c r="B77" i="21"/>
  <c r="B85" i="21"/>
  <c r="B93" i="21"/>
  <c r="B101" i="21"/>
  <c r="B109" i="21"/>
  <c r="B117" i="21"/>
  <c r="B125" i="21"/>
  <c r="B133" i="21"/>
  <c r="B141" i="21"/>
  <c r="B149" i="21"/>
  <c r="B157" i="21"/>
  <c r="B165" i="21"/>
  <c r="B173" i="21"/>
  <c r="B181" i="21"/>
  <c r="B189" i="21"/>
  <c r="B197" i="21"/>
  <c r="B205" i="21"/>
  <c r="B213" i="21"/>
  <c r="B221" i="21"/>
  <c r="B229" i="21"/>
  <c r="B237" i="21"/>
  <c r="B245" i="21"/>
  <c r="B253" i="21"/>
  <c r="B261" i="21"/>
  <c r="B269" i="21"/>
  <c r="B277" i="21"/>
  <c r="B285" i="21"/>
  <c r="B293" i="21"/>
  <c r="B301" i="21"/>
  <c r="B309" i="21"/>
  <c r="B317" i="21"/>
  <c r="B325" i="21"/>
  <c r="B333" i="21"/>
  <c r="B341" i="21"/>
  <c r="B349" i="21"/>
  <c r="B357" i="21"/>
  <c r="B365" i="21"/>
  <c r="B373" i="21"/>
  <c r="B381" i="21"/>
  <c r="B389" i="21"/>
  <c r="B397" i="21"/>
  <c r="B14" i="21"/>
  <c r="B22" i="21"/>
  <c r="B30" i="21"/>
  <c r="B38" i="21"/>
  <c r="B46" i="21"/>
  <c r="B54" i="21"/>
  <c r="B62" i="21"/>
  <c r="B70" i="21"/>
  <c r="B78" i="21"/>
  <c r="B86" i="21"/>
  <c r="B94" i="21"/>
  <c r="B102" i="21"/>
  <c r="B110" i="21"/>
  <c r="B118" i="21"/>
  <c r="B126" i="21"/>
  <c r="B134" i="21"/>
  <c r="B142" i="21"/>
  <c r="B150" i="21"/>
  <c r="B158" i="21"/>
  <c r="B166" i="21"/>
  <c r="B174" i="21"/>
  <c r="B182" i="21"/>
  <c r="B198" i="21"/>
  <c r="B206" i="21"/>
  <c r="B222" i="21"/>
  <c r="B238" i="21"/>
  <c r="B254" i="21"/>
  <c r="B270" i="21"/>
  <c r="B286" i="21"/>
  <c r="B302" i="21"/>
  <c r="B318" i="21"/>
  <c r="B334" i="21"/>
  <c r="B350" i="21"/>
  <c r="B366" i="21"/>
  <c r="B6" i="21"/>
  <c r="B190" i="21"/>
  <c r="B214" i="21"/>
  <c r="B230" i="21"/>
  <c r="B246" i="21"/>
  <c r="B262" i="21"/>
  <c r="B278" i="21"/>
  <c r="B294" i="21"/>
  <c r="B310" i="21"/>
  <c r="B326" i="21"/>
  <c r="B342" i="21"/>
  <c r="B358" i="21"/>
  <c r="B374" i="21"/>
  <c r="B382" i="21"/>
  <c r="B390" i="21"/>
  <c r="B398" i="21"/>
  <c r="B15" i="21"/>
  <c r="B8" i="21"/>
  <c r="B9" i="21"/>
  <c r="B10" i="21"/>
  <c r="B32" i="21"/>
  <c r="B48" i="21"/>
  <c r="B64" i="21"/>
  <c r="B80" i="21"/>
  <c r="B96" i="21"/>
  <c r="B112" i="21"/>
  <c r="B128" i="21"/>
  <c r="B144" i="21"/>
  <c r="B160" i="21"/>
  <c r="B176" i="21"/>
  <c r="B192" i="21"/>
  <c r="B208" i="21"/>
  <c r="B224" i="21"/>
  <c r="B240" i="21"/>
  <c r="B256" i="21"/>
  <c r="B272" i="21"/>
  <c r="B288" i="21"/>
  <c r="B304" i="21"/>
  <c r="B320" i="21"/>
  <c r="B336" i="21"/>
  <c r="B352" i="21"/>
  <c r="B368" i="21"/>
  <c r="B384" i="21"/>
  <c r="B385" i="21"/>
  <c r="B56" i="21"/>
  <c r="B152" i="21"/>
  <c r="B232" i="21"/>
  <c r="B296" i="21"/>
  <c r="B376" i="21"/>
  <c r="B303" i="21"/>
  <c r="B16" i="21"/>
  <c r="B33" i="21"/>
  <c r="B49" i="21"/>
  <c r="B65" i="21"/>
  <c r="B81" i="21"/>
  <c r="B97" i="21"/>
  <c r="B113" i="21"/>
  <c r="B129" i="21"/>
  <c r="B145" i="21"/>
  <c r="B161" i="21"/>
  <c r="B177" i="21"/>
  <c r="B193" i="21"/>
  <c r="B209" i="21"/>
  <c r="B225" i="21"/>
  <c r="B241" i="21"/>
  <c r="B257" i="21"/>
  <c r="B273" i="21"/>
  <c r="B289" i="21"/>
  <c r="B305" i="21"/>
  <c r="B321" i="21"/>
  <c r="B337" i="21"/>
  <c r="B353" i="21"/>
  <c r="B369" i="21"/>
  <c r="B386" i="21"/>
  <c r="B72" i="21"/>
  <c r="B120" i="21"/>
  <c r="B200" i="21"/>
  <c r="B280" i="21"/>
  <c r="B344" i="21"/>
  <c r="B271" i="21"/>
  <c r="B335" i="21"/>
  <c r="B17" i="21"/>
  <c r="B34" i="21"/>
  <c r="B50" i="21"/>
  <c r="B66" i="21"/>
  <c r="B82" i="21"/>
  <c r="B98" i="21"/>
  <c r="B114" i="21"/>
  <c r="B130" i="21"/>
  <c r="B146" i="21"/>
  <c r="B162" i="21"/>
  <c r="B178" i="21"/>
  <c r="B194" i="21"/>
  <c r="B210" i="21"/>
  <c r="B226" i="21"/>
  <c r="B242" i="21"/>
  <c r="B258" i="21"/>
  <c r="B274" i="21"/>
  <c r="B290" i="21"/>
  <c r="B306" i="21"/>
  <c r="B322" i="21"/>
  <c r="B338" i="21"/>
  <c r="B354" i="21"/>
  <c r="B370" i="21"/>
  <c r="B24" i="21"/>
  <c r="B104" i="21"/>
  <c r="B168" i="21"/>
  <c r="B248" i="21"/>
  <c r="B312" i="21"/>
  <c r="B360" i="21"/>
  <c r="B239" i="21"/>
  <c r="B367" i="21"/>
  <c r="B18" i="21"/>
  <c r="B39" i="21"/>
  <c r="B55" i="21"/>
  <c r="B71" i="21"/>
  <c r="B87" i="21"/>
  <c r="B103" i="21"/>
  <c r="B119" i="21"/>
  <c r="B135" i="21"/>
  <c r="B151" i="21"/>
  <c r="B167" i="21"/>
  <c r="B183" i="21"/>
  <c r="B199" i="21"/>
  <c r="B215" i="21"/>
  <c r="B231" i="21"/>
  <c r="B247" i="21"/>
  <c r="B263" i="21"/>
  <c r="B279" i="21"/>
  <c r="B295" i="21"/>
  <c r="B311" i="21"/>
  <c r="B327" i="21"/>
  <c r="B343" i="21"/>
  <c r="B359" i="21"/>
  <c r="B375" i="21"/>
  <c r="B391" i="21"/>
  <c r="B40" i="21"/>
  <c r="B88" i="21"/>
  <c r="B136" i="21"/>
  <c r="B184" i="21"/>
  <c r="B216" i="21"/>
  <c r="B264" i="21"/>
  <c r="B328" i="21"/>
  <c r="B392" i="21"/>
  <c r="B255" i="21"/>
  <c r="B351" i="21"/>
  <c r="B25" i="21"/>
  <c r="B41" i="21"/>
  <c r="B57" i="21"/>
  <c r="B73" i="21"/>
  <c r="B89" i="21"/>
  <c r="B105" i="21"/>
  <c r="B121" i="21"/>
  <c r="B137" i="21"/>
  <c r="B153" i="21"/>
  <c r="B169" i="21"/>
  <c r="B185" i="21"/>
  <c r="B201" i="21"/>
  <c r="B217" i="21"/>
  <c r="B233" i="21"/>
  <c r="B249" i="21"/>
  <c r="B265" i="21"/>
  <c r="B281" i="21"/>
  <c r="B297" i="21"/>
  <c r="B313" i="21"/>
  <c r="B329" i="21"/>
  <c r="B345" i="21"/>
  <c r="B361" i="21"/>
  <c r="B377" i="21"/>
  <c r="B393" i="21"/>
  <c r="B31" i="21"/>
  <c r="B63" i="21"/>
  <c r="B95" i="21"/>
  <c r="B127" i="21"/>
  <c r="B159" i="21"/>
  <c r="B191" i="21"/>
  <c r="B223" i="21"/>
  <c r="B319" i="21"/>
  <c r="B26" i="21"/>
  <c r="B42" i="21"/>
  <c r="B58" i="21"/>
  <c r="B74" i="21"/>
  <c r="B90" i="21"/>
  <c r="B106" i="21"/>
  <c r="B122" i="21"/>
  <c r="B138" i="21"/>
  <c r="B154" i="21"/>
  <c r="B170" i="21"/>
  <c r="B186" i="21"/>
  <c r="B202" i="21"/>
  <c r="B218" i="21"/>
  <c r="B234" i="21"/>
  <c r="B250" i="21"/>
  <c r="B266" i="21"/>
  <c r="B282" i="21"/>
  <c r="B298" i="21"/>
  <c r="B314" i="21"/>
  <c r="B330" i="21"/>
  <c r="B346" i="21"/>
  <c r="B362" i="21"/>
  <c r="B378" i="21"/>
  <c r="B394" i="21"/>
  <c r="B47" i="21"/>
  <c r="B79" i="21"/>
  <c r="B111" i="21"/>
  <c r="B143" i="21"/>
  <c r="B175" i="21"/>
  <c r="B207" i="21"/>
  <c r="B287" i="21"/>
  <c r="B383" i="21"/>
  <c r="Q6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06ADF6-8D42-4C13-ACE7-BB01B00DB70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512D24B-EAD6-4975-A34C-1C082C717059}" name="WorksheetConnection_datatable" type="102" refreshedVersion="8" minRefreshableVersion="5">
    <extLst>
      <ext xmlns:x15="http://schemas.microsoft.com/office/spreadsheetml/2010/11/main" uri="{DE250136-89BD-433C-8126-D09CA5730AF9}">
        <x15:connection id="datatable">
          <x15:rangePr sourceName="_xlcn.WorksheetConnection_datatable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<sst xmlns="http://schemas.openxmlformats.org/spreadsheetml/2006/main" count="3258" uniqueCount="487">
  <si>
    <t>Department</t>
  </si>
  <si>
    <t>Yes</t>
  </si>
  <si>
    <t>No</t>
  </si>
  <si>
    <t>Research &amp; Development</t>
  </si>
  <si>
    <t>Manager</t>
  </si>
  <si>
    <t>Employee ID</t>
  </si>
  <si>
    <t>Satisfied from job</t>
  </si>
  <si>
    <t>Rank</t>
  </si>
  <si>
    <t>Junior</t>
  </si>
  <si>
    <t>Senior</t>
  </si>
  <si>
    <t>Principal</t>
  </si>
  <si>
    <t>Director</t>
  </si>
  <si>
    <t>VP</t>
  </si>
  <si>
    <t>CEO</t>
  </si>
  <si>
    <t>Senior Manager</t>
  </si>
  <si>
    <t>Sales &amp; Marketing</t>
  </si>
  <si>
    <t>Finance</t>
  </si>
  <si>
    <t>HR</t>
  </si>
  <si>
    <t>IT</t>
  </si>
  <si>
    <t>Manufacturing</t>
  </si>
  <si>
    <t>Legal</t>
  </si>
  <si>
    <t>QA</t>
  </si>
  <si>
    <t>Number of kids</t>
  </si>
  <si>
    <t>WFH % in 2020</t>
  </si>
  <si>
    <t>Received Bonus in 2020?</t>
  </si>
  <si>
    <t>Salary $ (Yearly)</t>
  </si>
  <si>
    <t>Employment Start Date</t>
  </si>
  <si>
    <t>Years in Company</t>
  </si>
  <si>
    <t xml:space="preserve">Name </t>
  </si>
  <si>
    <t>John Smith</t>
  </si>
  <si>
    <t>Emma Johnson</t>
  </si>
  <si>
    <t>Alexander Müller</t>
  </si>
  <si>
    <t>Ayşe Yılmaz</t>
  </si>
  <si>
    <t>Svetlana Ivanova</t>
  </si>
  <si>
    <t>David Schmidt</t>
  </si>
  <si>
    <t>Fatma Öztürk</t>
  </si>
  <si>
    <t>Maxim Petrov</t>
  </si>
  <si>
    <t>Laura García</t>
  </si>
  <si>
    <t>Ali Kaya</t>
  </si>
  <si>
    <t>Anna Schmidt</t>
  </si>
  <si>
    <t>Mehmet Demir</t>
  </si>
  <si>
    <t>Olga Volkova</t>
  </si>
  <si>
    <t>Michael Weber</t>
  </si>
  <si>
    <t>Aysel Çelik</t>
  </si>
  <si>
    <t>Nikolai Ivanov</t>
  </si>
  <si>
    <t>Sophie Fischer</t>
  </si>
  <si>
    <t>İbrahim Yıldız</t>
  </si>
  <si>
    <t>Elena Kovalenko</t>
  </si>
  <si>
    <t>Julia Wagner</t>
  </si>
  <si>
    <t>Cem Özdemir</t>
  </si>
  <si>
    <t>Maria Santos</t>
  </si>
  <si>
    <t>Ahmet Arslan</t>
  </si>
  <si>
    <t>Vladimir Popov</t>
  </si>
  <si>
    <t>Andrea Rossi</t>
  </si>
  <si>
    <t>Deniz Can</t>
  </si>
  <si>
    <t>Larissa Smirnova</t>
  </si>
  <si>
    <t>Thomas Wagner</t>
  </si>
  <si>
    <t>Hüseyin Aydın</t>
  </si>
  <si>
    <t>Anna Novikova</t>
  </si>
  <si>
    <t>Paul Müller</t>
  </si>
  <si>
    <t>Ebru Demir</t>
  </si>
  <si>
    <t>Igor Sokolov</t>
  </si>
  <si>
    <t>Lisa Müller</t>
  </si>
  <si>
    <t>Murat Kaya</t>
  </si>
  <si>
    <t>Anastasia Ivanova</t>
  </si>
  <si>
    <t>Marko Fischer</t>
  </si>
  <si>
    <t>Elif Yılmaz</t>
  </si>
  <si>
    <t>Dmitri Ivanov</t>
  </si>
  <si>
    <t>Elena Schmidt</t>
  </si>
  <si>
    <t>Mustafa Öztürk</t>
  </si>
  <si>
    <t>Nina Petrova</t>
  </si>
  <si>
    <t>Jens Müller</t>
  </si>
  <si>
    <t>Zeynep Kaya</t>
  </si>
  <si>
    <t>Andrey Petrov</t>
  </si>
  <si>
    <t>Klara Schneider</t>
  </si>
  <si>
    <t>Eren Yıldırım</t>
  </si>
  <si>
    <t>Ksenia Ivanova</t>
  </si>
  <si>
    <t>Marco Ferrari</t>
  </si>
  <si>
    <t>Aylin Yılmaz</t>
  </si>
  <si>
    <t>Pavel Smirnov</t>
  </si>
  <si>
    <t>Sofia Santos</t>
  </si>
  <si>
    <t>Matthias Schmidt</t>
  </si>
  <si>
    <t>Melis Avcı</t>
  </si>
  <si>
    <t>Sergei Ivanov</t>
  </si>
  <si>
    <t>Carla Costa</t>
  </si>
  <si>
    <t>Emre Özkan</t>
  </si>
  <si>
    <t>Natalia Kuznetsova</t>
  </si>
  <si>
    <t>Timur Müller</t>
  </si>
  <si>
    <t>Ayşe Yıldırım</t>
  </si>
  <si>
    <t>Valeria Popova</t>
  </si>
  <si>
    <t>Peter Fischer</t>
  </si>
  <si>
    <t>Sevgi Aksoy</t>
  </si>
  <si>
    <t>Denisov Petrov</t>
  </si>
  <si>
    <t>Catherine Martin</t>
  </si>
  <si>
    <t>Uğur Yılmaz</t>
  </si>
  <si>
    <t>Irina Petrova</t>
  </si>
  <si>
    <t>Luis Silva</t>
  </si>
  <si>
    <t>Levent Eren</t>
  </si>
  <si>
    <t>Irina Svetlova</t>
  </si>
  <si>
    <t>Ahmet Yılmaz</t>
  </si>
  <si>
    <t>Marina Ivanova</t>
  </si>
  <si>
    <t>Simon Fischer</t>
  </si>
  <si>
    <t>Ece Demir</t>
  </si>
  <si>
    <t>Dmitriy Smirnov</t>
  </si>
  <si>
    <t>Sophia Müller</t>
  </si>
  <si>
    <t>Mehmet Öztürk</t>
  </si>
  <si>
    <t>Yelena Petrova</t>
  </si>
  <si>
    <t>Martin Schmidt</t>
  </si>
  <si>
    <t>Elif Kaya</t>
  </si>
  <si>
    <t>Anton Volkov</t>
  </si>
  <si>
    <t>Sarah Johnson</t>
  </si>
  <si>
    <t>Viktor Petrov</t>
  </si>
  <si>
    <t>Christina Müller</t>
  </si>
  <si>
    <t>Tarık Yılmaz</t>
  </si>
  <si>
    <t>Anna Smirnova</t>
  </si>
  <si>
    <t>Christian Fischer</t>
  </si>
  <si>
    <t>Melike Yıldız</t>
  </si>
  <si>
    <t>Andrei Petrov</t>
  </si>
  <si>
    <t>Lara Schmidt</t>
  </si>
  <si>
    <t>İsmail Çelik</t>
  </si>
  <si>
    <t>Natalya Ivanova</t>
  </si>
  <si>
    <t>Daniel Schmidt</t>
  </si>
  <si>
    <t>Yasemin Yılmaz</t>
  </si>
  <si>
    <t>Andreas Müller</t>
  </si>
  <si>
    <t>Irina Kuznetsova</t>
  </si>
  <si>
    <t>Sebastian Fischer</t>
  </si>
  <si>
    <t>Ceren Kaya</t>
  </si>
  <si>
    <t>Alexey Ivanov</t>
  </si>
  <si>
    <t>Emily Johnson</t>
  </si>
  <si>
    <t>Vladislav Petrov</t>
  </si>
  <si>
    <t>Lena Schneider</t>
  </si>
  <si>
    <t>Ali Yılmaz</t>
  </si>
  <si>
    <t>Alina Ivanova</t>
  </si>
  <si>
    <t>Dominik Müller</t>
  </si>
  <si>
    <t>Ceyda Yıldız</t>
  </si>
  <si>
    <t>Deniz Aydın</t>
  </si>
  <si>
    <t>Tatiana Kuznetsova</t>
  </si>
  <si>
    <t>Eren Schmidt</t>
  </si>
  <si>
    <t>Alicia García</t>
  </si>
  <si>
    <t>Umut Yılmaz</t>
  </si>
  <si>
    <t>Anastasia Petrova</t>
  </si>
  <si>
    <t>David Weber</t>
  </si>
  <si>
    <t>İlayda Yıldız</t>
  </si>
  <si>
    <t>Igor Smirnov</t>
  </si>
  <si>
    <t>Melisa Yılmaz</t>
  </si>
  <si>
    <t>Antonov Petrov</t>
  </si>
  <si>
    <t>Alexandra Müller</t>
  </si>
  <si>
    <t>Murat Yıldız</t>
  </si>
  <si>
    <t>Elena Smirnova</t>
  </si>
  <si>
    <t>Andreas Fischer</t>
  </si>
  <si>
    <t>Emine Yılmaz</t>
  </si>
  <si>
    <t>Nikolai Volkov</t>
  </si>
  <si>
    <t>Sophia Schmidt</t>
  </si>
  <si>
    <t>Tolga Yılmaz</t>
  </si>
  <si>
    <t>Anastasiya Ivanova</t>
  </si>
  <si>
    <t>Mert Yılmaz</t>
  </si>
  <si>
    <t>Alisa Ivanova</t>
  </si>
  <si>
    <t>Felix Fischer</t>
  </si>
  <si>
    <t>Esra Yılmaz</t>
  </si>
  <si>
    <t>Maximilian Fischer</t>
  </si>
  <si>
    <t>Alessandro Romano</t>
  </si>
  <si>
    <t>Fırat Alkan</t>
  </si>
  <si>
    <t>Carolina Costa</t>
  </si>
  <si>
    <t>Daniel Müller</t>
  </si>
  <si>
    <t>Sibel Yıldırım</t>
  </si>
  <si>
    <t>Matteo Ferrari</t>
  </si>
  <si>
    <t>Rüstem Arslan</t>
  </si>
  <si>
    <t>Monika Schmidt</t>
  </si>
  <si>
    <t>Cemre Kaya</t>
  </si>
  <si>
    <t>Lukas Wagner</t>
  </si>
  <si>
    <t>Sedef Yılmaz</t>
  </si>
  <si>
    <t>Marco Costa</t>
  </si>
  <si>
    <t>Yasemin Yıldız</t>
  </si>
  <si>
    <t>Giovanni Rossi</t>
  </si>
  <si>
    <t>Emre Yıldırım</t>
  </si>
  <si>
    <t>Lara Weber</t>
  </si>
  <si>
    <t>Vladislav Volkov</t>
  </si>
  <si>
    <t>Özlem Yılmaz</t>
  </si>
  <si>
    <t>Filippo Esposito</t>
  </si>
  <si>
    <t>Beyza Demir</t>
  </si>
  <si>
    <t>Alberto Conti</t>
  </si>
  <si>
    <t>Ayşenur Aksoy</t>
  </si>
  <si>
    <t>Giacomo Russo</t>
  </si>
  <si>
    <t>Murat Yılmaz</t>
  </si>
  <si>
    <t>Chiara Bianchi</t>
  </si>
  <si>
    <t>Özgür Yıldırım</t>
  </si>
  <si>
    <t>Antonio Ferreira</t>
  </si>
  <si>
    <t>Nazlı Yıldız</t>
  </si>
  <si>
    <t>Martina Rossi</t>
  </si>
  <si>
    <t>Barış Yılmaz</t>
  </si>
  <si>
    <t>Davide Martini</t>
  </si>
  <si>
    <t>Derya Çelik</t>
  </si>
  <si>
    <t>Fabrizio Moretti</t>
  </si>
  <si>
    <t>Büşra Avcı</t>
  </si>
  <si>
    <t>Alessia Ricci</t>
  </si>
  <si>
    <t>Koray Aydın</t>
  </si>
  <si>
    <t>Sara Mancini</t>
  </si>
  <si>
    <t>Vincenzo Costa</t>
  </si>
  <si>
    <t>Cansu Yılmaz</t>
  </si>
  <si>
    <t>Mirko Novak</t>
  </si>
  <si>
    <t>Aybike Yıldırım</t>
  </si>
  <si>
    <t>Marta Kovač</t>
  </si>
  <si>
    <t>Nur Yılmaz</t>
  </si>
  <si>
    <t>Gianluca Vitale</t>
  </si>
  <si>
    <t>Claudio De Luca</t>
  </si>
  <si>
    <t>Fatih Kılıç</t>
  </si>
  <si>
    <t>Francesca Rizzo</t>
  </si>
  <si>
    <t>Erdem Yılmaz</t>
  </si>
  <si>
    <t>Daniele Barbieri</t>
  </si>
  <si>
    <t>Ayça Şahin</t>
  </si>
  <si>
    <t>Silvia Colombo</t>
  </si>
  <si>
    <t>Orhan Yılmaz</t>
  </si>
  <si>
    <t>Riccardo Rinaldi</t>
  </si>
  <si>
    <t>Cansu Kaya</t>
  </si>
  <si>
    <t>Leonardo Gruber</t>
  </si>
  <si>
    <t>Nurşen Kılıç</t>
  </si>
  <si>
    <t>Gabriele Koch</t>
  </si>
  <si>
    <t>Selin Yıldız</t>
  </si>
  <si>
    <t>Giulia D'Amico</t>
  </si>
  <si>
    <t>Serkan Aydın</t>
  </si>
  <si>
    <t>Federico Bianchi</t>
  </si>
  <si>
    <t>Yağmur Yıldırım</t>
  </si>
  <si>
    <t>Alessandro Ferrari</t>
  </si>
  <si>
    <t>Esra Yıldız</t>
  </si>
  <si>
    <t>Vincenzo Rizzo</t>
  </si>
  <si>
    <t>Ceyda Aydın</t>
  </si>
  <si>
    <t>Giovanna Marini</t>
  </si>
  <si>
    <t>Okan Yılmaz</t>
  </si>
  <si>
    <t>Alessia Cetin</t>
  </si>
  <si>
    <t>Can Yıldız</t>
  </si>
  <si>
    <t>Martina Krüger</t>
  </si>
  <si>
    <t>Sezgin Yıldırım</t>
  </si>
  <si>
    <t>Giovanni Bernardi</t>
  </si>
  <si>
    <t>Ela Yılmaz</t>
  </si>
  <si>
    <t>Domenico Giuliani</t>
  </si>
  <si>
    <t>Marta Novak</t>
  </si>
  <si>
    <t>Tuğba Yılmaz</t>
  </si>
  <si>
    <t>Paolo Caruso</t>
  </si>
  <si>
    <t>Nazlı Yılmaz</t>
  </si>
  <si>
    <t>Luca Ricci</t>
  </si>
  <si>
    <t>Deniz Kılıç</t>
  </si>
  <si>
    <t>Giulia Moretti</t>
  </si>
  <si>
    <t>Mert Aydın</t>
  </si>
  <si>
    <t>Cristian Müller</t>
  </si>
  <si>
    <t>Yeliz Yılmaz</t>
  </si>
  <si>
    <t>Gianluca Coppola</t>
  </si>
  <si>
    <t>Sevil Yılmaz</t>
  </si>
  <si>
    <t>Giorgio Marini</t>
  </si>
  <si>
    <t>Ece Yıldırım</t>
  </si>
  <si>
    <t>Nicola Colombo</t>
  </si>
  <si>
    <t>Merve Yılmaz</t>
  </si>
  <si>
    <t>Riccardo Marchetti</t>
  </si>
  <si>
    <t>Selin Aydın</t>
  </si>
  <si>
    <t>Francesca Neri</t>
  </si>
  <si>
    <t>Deniz Yıldız</t>
  </si>
  <si>
    <t>Roberto Ferreira</t>
  </si>
  <si>
    <t>Yasemin Kaya</t>
  </si>
  <si>
    <t>Emanuele Costa</t>
  </si>
  <si>
    <t>Özlem Yıldırım</t>
  </si>
  <si>
    <t>Lorenzo Pinto</t>
  </si>
  <si>
    <t>Elif Yıldız</t>
  </si>
  <si>
    <t>Federica De Luca</t>
  </si>
  <si>
    <t>Gözde Yılmaz</t>
  </si>
  <si>
    <t>Andrea Sánchez</t>
  </si>
  <si>
    <t>Aylin Yıldırım</t>
  </si>
  <si>
    <t>Nuray Yılmaz</t>
  </si>
  <si>
    <t>Giovanni Russo</t>
  </si>
  <si>
    <t>Carlo Bernardi</t>
  </si>
  <si>
    <t>İpek Kaya</t>
  </si>
  <si>
    <t>Alberto Bianchi</t>
  </si>
  <si>
    <t>Cemre Yılmaz</t>
  </si>
  <si>
    <t>Nadia Petrović</t>
  </si>
  <si>
    <t>Kemal Aydın</t>
  </si>
  <si>
    <t>Greta Rossi</t>
  </si>
  <si>
    <t>Selin Yıldırım</t>
  </si>
  <si>
    <t>Giacomo Ferrari</t>
  </si>
  <si>
    <t>Antonio Bernardi</t>
  </si>
  <si>
    <t>Rabia Yılmaz</t>
  </si>
  <si>
    <t>Lorenzo Conte</t>
  </si>
  <si>
    <t>Ebru Yılmaz</t>
  </si>
  <si>
    <t>Federico Lombardi</t>
  </si>
  <si>
    <t>Ezgi Yıldırım</t>
  </si>
  <si>
    <t>Cristina Carvalho</t>
  </si>
  <si>
    <t>Kemal Yıldırım</t>
  </si>
  <si>
    <t>Elena Rossi</t>
  </si>
  <si>
    <t>Süleyman Kılıç</t>
  </si>
  <si>
    <t>Alper Aydın</t>
  </si>
  <si>
    <t>Nuria García</t>
  </si>
  <si>
    <t>Alessandro Marchetti</t>
  </si>
  <si>
    <t>Tommaso Esposito</t>
  </si>
  <si>
    <t>Yeliz Yıldız</t>
  </si>
  <si>
    <t>Giovanni Barbieri</t>
  </si>
  <si>
    <t>Meryem Kaya</t>
  </si>
  <si>
    <t>Stefano Sartori</t>
  </si>
  <si>
    <t>Giorgia Fiore</t>
  </si>
  <si>
    <t>Oğuz Aydın</t>
  </si>
  <si>
    <t>Francesco Conte</t>
  </si>
  <si>
    <t>Alessio De Luca</t>
  </si>
  <si>
    <t>Nur Yıldız</t>
  </si>
  <si>
    <t>Simone Bianchi</t>
  </si>
  <si>
    <t>Nicola Ricci</t>
  </si>
  <si>
    <t>Dilara Kaya</t>
  </si>
  <si>
    <t>Alessandro Costa</t>
  </si>
  <si>
    <t>Cristian Martin</t>
  </si>
  <si>
    <t>Ezgi Yılmaz</t>
  </si>
  <si>
    <t>Emanuela Bianchi</t>
  </si>
  <si>
    <t>Federico Pinto</t>
  </si>
  <si>
    <t>Yağmur Yılmaz</t>
  </si>
  <si>
    <t>Giulia Ferreira</t>
  </si>
  <si>
    <t>Ercan Yıldırım</t>
  </si>
  <si>
    <t>Valentina Ferrari</t>
  </si>
  <si>
    <t>Ali Yıldız</t>
  </si>
  <si>
    <t>Lorenzo De Santis</t>
  </si>
  <si>
    <t>Aslı Kaya</t>
  </si>
  <si>
    <t>Vincenzo Ferrari</t>
  </si>
  <si>
    <t>Giuseppe Marino</t>
  </si>
  <si>
    <t>Ela Yıldız</t>
  </si>
  <si>
    <t>Matteo Moretti</t>
  </si>
  <si>
    <t>Seda Yılmaz</t>
  </si>
  <si>
    <t>Simone Lombardi</t>
  </si>
  <si>
    <t>Tuğba Aydın</t>
  </si>
  <si>
    <t>Leonardo Rizzo</t>
  </si>
  <si>
    <t>Özge Yıldırım</t>
  </si>
  <si>
    <t>Valentina Rossi</t>
  </si>
  <si>
    <t>Lorenzo Pellegrini</t>
  </si>
  <si>
    <t>Alessandro Conti</t>
  </si>
  <si>
    <t>Zeynep Yıldırım</t>
  </si>
  <si>
    <t>Federico D'Amico</t>
  </si>
  <si>
    <t>Andrea Rizzo</t>
  </si>
  <si>
    <t>Marco Gruber</t>
  </si>
  <si>
    <t>Gülşah Kaya</t>
  </si>
  <si>
    <t>Gianluca Bernardi</t>
  </si>
  <si>
    <t>Leyla Yılmaz</t>
  </si>
  <si>
    <t>Alessandro Rossi</t>
  </si>
  <si>
    <t>Riccardo Marini</t>
  </si>
  <si>
    <t>Esra Yıldırım</t>
  </si>
  <si>
    <t>Luca Bianchi</t>
  </si>
  <si>
    <t>Esra Kaya</t>
  </si>
  <si>
    <t>Alessandro Ferreira</t>
  </si>
  <si>
    <t>Riccardo Vitale</t>
  </si>
  <si>
    <t>Dilek Yıldırım</t>
  </si>
  <si>
    <t>Francesco Leone</t>
  </si>
  <si>
    <t>Stefano Barbieri</t>
  </si>
  <si>
    <t>Ceren Aydın</t>
  </si>
  <si>
    <t>Valentina Pinto</t>
  </si>
  <si>
    <t>Matteo Esposito</t>
  </si>
  <si>
    <t>Federica Barbieri</t>
  </si>
  <si>
    <t>Ege Yılmaz</t>
  </si>
  <si>
    <t>Alessandro Rizzo</t>
  </si>
  <si>
    <t>Matteo Bianchi</t>
  </si>
  <si>
    <t>Zeynep Yıldız</t>
  </si>
  <si>
    <t>Davide Ferrari</t>
  </si>
  <si>
    <t>Francesco Marchetti</t>
  </si>
  <si>
    <t>Valentina De Luca</t>
  </si>
  <si>
    <t>Riccardo Martini</t>
  </si>
  <si>
    <t>Ezgi Kaya</t>
  </si>
  <si>
    <t>Melis Yılmaz</t>
  </si>
  <si>
    <t>Davide Sartori</t>
  </si>
  <si>
    <t>Nicola Lombardi</t>
  </si>
  <si>
    <t>Ebru Kaya</t>
  </si>
  <si>
    <t>Andrea Conti</t>
  </si>
  <si>
    <t>Nazlı Yıldırım</t>
  </si>
  <si>
    <t>Carlo Coppola</t>
  </si>
  <si>
    <t>Simone Barbieri</t>
  </si>
  <si>
    <t>Antonio Vitale</t>
  </si>
  <si>
    <t>Luca Marini</t>
  </si>
  <si>
    <t>Gizem Yıldırım</t>
  </si>
  <si>
    <t>Giorgio Gruber</t>
  </si>
  <si>
    <t>Ayşe Kaya</t>
  </si>
  <si>
    <t>Emanuele De Santis</t>
  </si>
  <si>
    <t>Marco Sartori</t>
  </si>
  <si>
    <t>Selin Kaya</t>
  </si>
  <si>
    <t>Gabriele Martini</t>
  </si>
  <si>
    <t>Elif Yıldırım</t>
  </si>
  <si>
    <t>Giulia Lombardi</t>
  </si>
  <si>
    <t>Murat Aydın</t>
  </si>
  <si>
    <t>Elena Pinto</t>
  </si>
  <si>
    <t>Mehmet Yıldırım</t>
  </si>
  <si>
    <t>Alberto Ferreira</t>
  </si>
  <si>
    <t>Gözde Yıldız</t>
  </si>
  <si>
    <t>Leonardo Ferrari</t>
  </si>
  <si>
    <t>İrem Kaya</t>
  </si>
  <si>
    <t>Fabio Bernardi</t>
  </si>
  <si>
    <t>Valentina Martini</t>
  </si>
  <si>
    <t>Seda Kaya</t>
  </si>
  <si>
    <t>Giacomo Rizzo</t>
  </si>
  <si>
    <t>Ebru Yıldız</t>
  </si>
  <si>
    <t>Nicola Barbieri</t>
  </si>
  <si>
    <t>Francesca Coppola</t>
  </si>
  <si>
    <t>Emir Aydın</t>
  </si>
  <si>
    <t>Nadia Rossi</t>
  </si>
  <si>
    <t>Ayşegül Yıldırım</t>
  </si>
  <si>
    <t>Carlo Vitale</t>
  </si>
  <si>
    <t>Derya Yıldız</t>
  </si>
  <si>
    <t>Lorenzo Marini</t>
  </si>
  <si>
    <t>Yasemin Yıldırım</t>
  </si>
  <si>
    <t>Giovanni Pinto</t>
  </si>
  <si>
    <t>Berkay Aydın</t>
  </si>
  <si>
    <t>Nicoletta Martini</t>
  </si>
  <si>
    <t>Ege Yıldız</t>
  </si>
  <si>
    <t>Gianluca Ferrari</t>
  </si>
  <si>
    <t>Nihan Yıldırım</t>
  </si>
  <si>
    <t>Giorgio Barbieri</t>
  </si>
  <si>
    <t>Giuseppe Lombardi</t>
  </si>
  <si>
    <t>Selin Yılmaz</t>
  </si>
  <si>
    <t>Alessandro Gruber</t>
  </si>
  <si>
    <t>Ebru Yıldırım</t>
  </si>
  <si>
    <t>Valeria Esposito</t>
  </si>
  <si>
    <t>Özgür Kaya</t>
  </si>
  <si>
    <t>Aslı Yılmaz</t>
  </si>
  <si>
    <t>Giovanni Ferreira</t>
  </si>
  <si>
    <t>Giorgia Bernardi</t>
  </si>
  <si>
    <t>Antonio Esposito</t>
  </si>
  <si>
    <t>Francesco Coppola</t>
  </si>
  <si>
    <t>Aylin Yıldız</t>
  </si>
  <si>
    <t>Marco Marini</t>
  </si>
  <si>
    <t>Deniz Yılmaz</t>
  </si>
  <si>
    <t>Nasip Ahmet</t>
  </si>
  <si>
    <t>Miraç Kaya</t>
  </si>
  <si>
    <t>Beyza Akın</t>
  </si>
  <si>
    <t>Alparslan Kaya</t>
  </si>
  <si>
    <t>İzzet Ahmet</t>
  </si>
  <si>
    <t>Çınar Kaya</t>
  </si>
  <si>
    <t>Enes Akın</t>
  </si>
  <si>
    <t>Özcan Kütür</t>
  </si>
  <si>
    <t>Hatice Gürbaşı</t>
  </si>
  <si>
    <t>Row Labels</t>
  </si>
  <si>
    <t>Grand Total</t>
  </si>
  <si>
    <t>Sum of Salary $ (Yearly)</t>
  </si>
  <si>
    <t xml:space="preserve">Count of Name </t>
  </si>
  <si>
    <t>Count of Employee ID</t>
  </si>
  <si>
    <t>Average of Salary $ (Yearly)</t>
  </si>
  <si>
    <t>Name</t>
  </si>
  <si>
    <t>Sallary</t>
  </si>
  <si>
    <t>ID</t>
  </si>
  <si>
    <t>State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</si>
  <si>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</si>
  <si>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</si>
  <si>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</si>
  <si>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</si>
  <si>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</si>
  <si>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</si>
  <si>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</si>
  <si>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</si>
  <si>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</si>
  <si>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</si>
  <si>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</si>
  <si>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</si>
  <si>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</si>
  <si>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</si>
  <si>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</si>
  <si>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</si>
  <si>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</si>
  <si>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</si>
  <si>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</si>
  <si>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</si>
  <si>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</si>
  <si>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</si>
  <si>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</si>
  <si>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</si>
  <si>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</si>
  <si>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</si>
  <si>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</si>
  <si>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</si>
  <si>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</si>
  <si>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</si>
  <si>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</si>
  <si>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</si>
  <si>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</si>
  <si>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</si>
  <si>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</si>
  <si>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</si>
  <si>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</si>
  <si>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</si>
  <si>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</si>
  <si>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</si>
  <si>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</si>
  <si>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</si>
  <si>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</si>
  <si>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</si>
  <si>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</si>
  <si>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</si>
  <si>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</si>
  <si>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</si>
  <si>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</si>
  <si>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</si>
  <si>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Top 10 Sallary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</si>
</sst>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"/>
  </numFmts>
  <fonts count="22" x14ac:knownFonts="1"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8"/>
      <color theme="3"/>
      <name val="Calibri Light"/>
      <family val="2"/>
      <charset val="177"/>
      <scheme val="major"/>
    </font>
    <font>
      <b/>
      <sz val="15"/>
      <color theme="3"/>
      <name val="Calibri"/>
      <family val="2"/>
      <charset val="177"/>
      <scheme val="minor"/>
    </font>
    <font>
      <b/>
      <sz val="13"/>
      <color theme="3"/>
      <name val="Calibri"/>
      <family val="2"/>
      <charset val="177"/>
      <scheme val="minor"/>
    </font>
    <font>
      <b/>
      <sz val="11"/>
      <color theme="3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11"/>
      <color rgb="FF9C0006"/>
      <name val="Calibri"/>
      <family val="2"/>
      <charset val="177"/>
      <scheme val="minor"/>
    </font>
    <font>
      <sz val="11"/>
      <color rgb="FF9C5700"/>
      <name val="Calibri"/>
      <family val="2"/>
      <charset val="177"/>
      <scheme val="minor"/>
    </font>
    <font>
      <sz val="11"/>
      <color rgb="FF3F3F76"/>
      <name val="Calibri"/>
      <family val="2"/>
      <charset val="177"/>
      <scheme val="minor"/>
    </font>
    <font>
      <b/>
      <sz val="11"/>
      <color rgb="FF3F3F3F"/>
      <name val="Calibri"/>
      <family val="2"/>
      <charset val="177"/>
      <scheme val="minor"/>
    </font>
    <font>
      <b/>
      <sz val="11"/>
      <color rgb="FFFA7D00"/>
      <name val="Calibri"/>
      <family val="2"/>
      <charset val="177"/>
      <scheme val="minor"/>
    </font>
    <font>
      <sz val="11"/>
      <color rgb="FFFA7D00"/>
      <name val="Calibri"/>
      <family val="2"/>
      <charset val="177"/>
      <scheme val="minor"/>
    </font>
    <font>
      <b/>
      <sz val="11"/>
      <color theme="0"/>
      <name val="Calibri"/>
      <family val="2"/>
      <charset val="177"/>
      <scheme val="minor"/>
    </font>
    <font>
      <sz val="11"/>
      <color rgb="FFFF0000"/>
      <name val="Calibri"/>
      <family val="2"/>
      <charset val="177"/>
      <scheme val="minor"/>
    </font>
    <font>
      <i/>
      <sz val="11"/>
      <color rgb="FF7F7F7F"/>
      <name val="Calibri"/>
      <family val="2"/>
      <charset val="177"/>
      <scheme val="minor"/>
    </font>
    <font>
      <b/>
      <sz val="11"/>
      <color theme="1"/>
      <name val="Calibri"/>
      <family val="2"/>
      <charset val="177"/>
      <scheme val="minor"/>
    </font>
    <font>
      <sz val="11"/>
      <color theme="0"/>
      <name val="Calibri"/>
      <family val="2"/>
      <charset val="177"/>
      <scheme val="minor"/>
    </font>
    <font>
      <sz val="11"/>
      <name val="Calibri"/>
      <family val="2"/>
      <charset val="177"/>
      <scheme val="minor"/>
    </font>
    <font>
      <b/>
      <sz val="11"/>
      <name val="Calibri"/>
      <family val="2"/>
      <charset val="177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theme="7"/>
      </patternFill>
    </fill>
    <fill>
      <patternFill patternType="solid">
        <fgColor rgb="FFFDA52F"/>
        <bgColor theme="0" tint="-0.14999847407452621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31">
    <xf numFmtId="0" fontId="0" fillId="0" borderId="0" xfId="0"/>
    <xf numFmtId="14" fontId="0" fillId="0" borderId="0" xfId="0" applyNumberFormat="1"/>
    <xf numFmtId="164" fontId="0" fillId="0" borderId="0" xfId="43" applyNumberFormat="1" applyFon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11" xfId="0" applyBorder="1"/>
    <xf numFmtId="0" fontId="0" fillId="0" borderId="13" xfId="0" applyBorder="1"/>
    <xf numFmtId="0" fontId="19" fillId="33" borderId="10" xfId="0" applyFont="1" applyFill="1" applyBorder="1"/>
    <xf numFmtId="0" fontId="19" fillId="33" borderId="10" xfId="0" applyFont="1" applyFill="1" applyBorder="1" applyAlignment="1">
      <alignment horizontal="center"/>
    </xf>
    <xf numFmtId="9" fontId="19" fillId="33" borderId="10" xfId="1" applyFont="1" applyFill="1" applyBorder="1" applyAlignment="1">
      <alignment horizontal="center"/>
    </xf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1" fontId="0" fillId="0" borderId="0" xfId="0" applyNumberFormat="1"/>
    <xf numFmtId="0" fontId="0" fillId="0" borderId="14" xfId="0" applyBorder="1" applyAlignment="1">
      <alignment horizontal="center"/>
    </xf>
    <xf numFmtId="164" fontId="0" fillId="0" borderId="14" xfId="43" applyNumberFormat="1" applyFont="1" applyBorder="1" applyAlignment="1">
      <alignment horizontal="center"/>
    </xf>
    <xf numFmtId="0" fontId="17" fillId="34" borderId="14" xfId="0" applyFont="1" applyFill="1" applyBorder="1" applyAlignment="1">
      <alignment horizontal="center"/>
    </xf>
    <xf numFmtId="164" fontId="17" fillId="34" borderId="14" xfId="43" applyNumberFormat="1" applyFont="1" applyFill="1" applyBorder="1" applyAlignment="1">
      <alignment horizontal="center"/>
    </xf>
    <xf numFmtId="0" fontId="21" fillId="0" borderId="0" xfId="0" applyFont="1"/>
    <xf numFmtId="0" fontId="20" fillId="0" borderId="0" xfId="0" applyFont="1" applyAlignment="1">
      <alignment horizontal="center"/>
    </xf>
    <xf numFmtId="0" fontId="20" fillId="0" borderId="13" xfId="0" applyFont="1" applyBorder="1" applyAlignment="1">
      <alignment horizontal="center"/>
    </xf>
    <xf numFmtId="0" fontId="0" fillId="35" borderId="0" xfId="0" applyFill="1"/>
    <xf numFmtId="0" fontId="0" fillId="35" borderId="11" xfId="0" applyFill="1" applyBorder="1"/>
    <xf numFmtId="0" fontId="0" fillId="35" borderId="13" xfId="0" applyFill="1" applyBorder="1"/>
    <xf numFmtId="0" fontId="0" fillId="35" borderId="12" xfId="0" applyFill="1" applyBorder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43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17">
    <dxf>
      <numFmt numFmtId="1" formatCode="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numFmt numFmtId="164" formatCode="_(&quot;$&quot;* #,##0_);_(&quot;$&quot;* \(#,##0\);_(&quot;$&quot;* &quot;-&quot;??_);_(@_)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7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177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1FE924"/>
      <color rgb="FF31D770"/>
      <color rgb="FF17E7F1"/>
      <color rgb="FFFDA5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[Company Employee Dashboard.xlsm]Count Child!PivotTable1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range of employees' children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'Count Child'!$B$3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'Count Child'!$A$4:$A$10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'Count Child'!$B$4:$B$10</c:f>
              <c:numCache>
                <c:formatCode>General</c:formatCode>
                <c:ptCount val="6"/>
                <c:pt idx="0">
                  <c:v>104</c:v>
                </c:pt>
                <c:pt idx="1">
                  <c:v>100</c:v>
                </c:pt>
                <c:pt idx="2">
                  <c:v>108</c:v>
                </c:pt>
                <c:pt idx="3">
                  <c:v>99</c:v>
                </c:pt>
                <c:pt idx="4">
                  <c:v>52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0-4052-A39C-B7F9B3E270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89477328"/>
        <c:axId val="1389478768"/>
      </c:barChart>
      <c:catAx>
        <c:axId val="1389477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9478768"/>
        <c:crosses val="autoZero"/>
        <c:auto val="1"/>
        <c:lblAlgn val="ctr"/>
        <c:lblOffset val="100"/>
        <c:noMultiLvlLbl val="0"/>
      </c:catAx>
      <c:valAx>
        <c:axId val="1389478768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Quantity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38947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[Company Employee Dashboard.xlsm]Salary Department!PivotTable1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Salary per</a:t>
            </a:r>
            <a:r>
              <a:rPr lang="en-US" baseline="0"/>
              <a:t> Department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'Salary Department'!$B$3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'Salary Department'!$A$4:$A$13</c:f>
              <c:strCache>
                <c:ptCount val="9"/>
                <c:pt idx="0">
                  <c:v>CEO</c:v>
                </c:pt>
                <c:pt idx="1">
                  <c:v>Finance</c:v>
                </c:pt>
                <c:pt idx="2">
                  <c:v>HR</c:v>
                </c:pt>
                <c:pt idx="3">
                  <c:v>IT</c:v>
                </c:pt>
                <c:pt idx="4">
                  <c:v>Legal</c:v>
                </c:pt>
                <c:pt idx="5">
                  <c:v>Manufacturing</c:v>
                </c:pt>
                <c:pt idx="6">
                  <c:v>QA</c:v>
                </c:pt>
                <c:pt idx="7">
                  <c:v>Research &amp; Development</c:v>
                </c:pt>
                <c:pt idx="8">
                  <c:v>Sales &amp; Marketing</c:v>
                </c:pt>
              </c:strCache>
            </c:strRef>
          </c:cat>
          <c:val>
            <c:numRef>
              <c:f>'Salary Department'!$B$4:$B$13</c:f>
              <c:numCache>
                <c:formatCode>"$"#,##0</c:formatCode>
                <c:ptCount val="9"/>
                <c:pt idx="0">
                  <c:v>350000</c:v>
                </c:pt>
                <c:pt idx="1">
                  <c:v>10562794</c:v>
                </c:pt>
                <c:pt idx="2">
                  <c:v>13608218</c:v>
                </c:pt>
                <c:pt idx="3">
                  <c:v>10975608</c:v>
                </c:pt>
                <c:pt idx="4">
                  <c:v>12331403</c:v>
                </c:pt>
                <c:pt idx="5">
                  <c:v>11084787</c:v>
                </c:pt>
                <c:pt idx="6">
                  <c:v>10901416</c:v>
                </c:pt>
                <c:pt idx="7">
                  <c:v>14070721</c:v>
                </c:pt>
                <c:pt idx="8">
                  <c:v>10341596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5-450D-BEA1-8CEFFA351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34801440"/>
        <c:axId val="1434800000"/>
      </c:barChart>
      <c:catAx>
        <c:axId val="1434801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800000"/>
        <c:crosses val="autoZero"/>
        <c:auto val="1"/>
        <c:lblAlgn val="ctr"/>
        <c:lblOffset val="100"/>
        <c:noMultiLvlLbl val="0"/>
      </c:catAx>
      <c:valAx>
        <c:axId val="143480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80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[Company Employee Dashboard.xlsm]rank for sallary!PivotTable1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of Salary $ per</a:t>
            </a:r>
            <a:r>
              <a:rPr lang="en-US" baseline="0"/>
              <a:t> Rank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'rank for sallary'!$B$3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'rank for sallary'!$A$4:$A$12</c:f>
              <c:strCache>
                <c:ptCount val="8"/>
                <c:pt idx="0">
                  <c:v>CEO</c:v>
                </c:pt>
                <c:pt idx="1">
                  <c:v>Director</c:v>
                </c:pt>
                <c:pt idx="2">
                  <c:v>Junior</c:v>
                </c:pt>
                <c:pt idx="3">
                  <c:v>Manager</c:v>
                </c:pt>
                <c:pt idx="4">
                  <c:v>Principal</c:v>
                </c:pt>
                <c:pt idx="5">
                  <c:v>Senior</c:v>
                </c:pt>
                <c:pt idx="6">
                  <c:v>Senior Manager</c:v>
                </c:pt>
                <c:pt idx="7">
                  <c:v>VP</c:v>
                </c:pt>
              </c:strCache>
            </c:strRef>
          </c:cat>
          <c:val>
            <c:numRef>
              <c:f>'rank for sallary'!$B$4:$B$12</c:f>
              <c:numCache>
                <c:formatCode>"$"#,##0</c:formatCode>
                <c:ptCount val="8"/>
                <c:pt idx="0">
                  <c:v>350000</c:v>
                </c:pt>
                <c:pt idx="1">
                  <c:v>289757.14285714284</c:v>
                </c:pt>
                <c:pt idx="2">
                  <c:v>80359.647727272721</c:v>
                </c:pt>
                <c:pt idx="3">
                  <c:v>195022.60824742267</c:v>
                </c:pt>
                <c:pt idx="4">
                  <c:v>263604.09638554219</c:v>
                </c:pt>
                <c:pt idx="5">
                  <c:v>125519.67826086956</c:v>
                </c:pt>
                <c:pt idx="6">
                  <c:v>236288.76576576577</c:v>
                </c:pt>
                <c:pt idx="7">
                  <c:v>322286.25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E5-4F3B-AAF4-5D3FC7041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4808640"/>
        <c:axId val="1434799520"/>
      </c:barChart>
      <c:catAx>
        <c:axId val="143480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799520"/>
        <c:crosses val="autoZero"/>
        <c:auto val="1"/>
        <c:lblAlgn val="ctr"/>
        <c:lblOffset val="100"/>
        <c:noMultiLvlLbl val="0"/>
      </c:catAx>
      <c:valAx>
        <c:axId val="14347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80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15-4CF3-ABE7-4EFCC191422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15-4CF3-ABE7-4EFCC191422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(WorkSheet!$F$16,WorkSheet!$H$16)</c:f>
              <c:numCache>
                <c:formatCode>0%</c:formatCode>
                <c:ptCount val="2"/>
                <c:pt idx="0">
                  <c:v>0.83</c:v>
                </c:pt>
                <c:pt idx="1">
                  <c:v>0.17000000000000004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15-4CF3-ABE7-4EFCC191422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[Company Employee Dashboard.xlsm]Salary Department!PivotTable1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Salary per</a:t>
            </a:r>
            <a:r>
              <a:rPr lang="en-US" baseline="0"/>
              <a:t> Department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'Salary Department'!$B$3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'Salary Department'!$A$4:$A$13</c:f>
              <c:strCache>
                <c:ptCount val="9"/>
                <c:pt idx="0">
                  <c:v>CEO</c:v>
                </c:pt>
                <c:pt idx="1">
                  <c:v>Finance</c:v>
                </c:pt>
                <c:pt idx="2">
                  <c:v>HR</c:v>
                </c:pt>
                <c:pt idx="3">
                  <c:v>IT</c:v>
                </c:pt>
                <c:pt idx="4">
                  <c:v>Legal</c:v>
                </c:pt>
                <c:pt idx="5">
                  <c:v>Manufacturing</c:v>
                </c:pt>
                <c:pt idx="6">
                  <c:v>QA</c:v>
                </c:pt>
                <c:pt idx="7">
                  <c:v>Research &amp; Development</c:v>
                </c:pt>
                <c:pt idx="8">
                  <c:v>Sales &amp; Marketing</c:v>
                </c:pt>
              </c:strCache>
            </c:strRef>
          </c:cat>
          <c:val>
            <c:numRef>
              <c:f>'Salary Department'!$B$4:$B$13</c:f>
              <c:numCache>
                <c:formatCode>"$"#,##0</c:formatCode>
                <c:ptCount val="9"/>
                <c:pt idx="0">
                  <c:v>350000</c:v>
                </c:pt>
                <c:pt idx="1">
                  <c:v>10562794</c:v>
                </c:pt>
                <c:pt idx="2">
                  <c:v>13608218</c:v>
                </c:pt>
                <c:pt idx="3">
                  <c:v>10975608</c:v>
                </c:pt>
                <c:pt idx="4">
                  <c:v>12331403</c:v>
                </c:pt>
                <c:pt idx="5">
                  <c:v>11084787</c:v>
                </c:pt>
                <c:pt idx="6">
                  <c:v>10901416</c:v>
                </c:pt>
                <c:pt idx="7">
                  <c:v>14070721</c:v>
                </c:pt>
                <c:pt idx="8">
                  <c:v>10341596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9C-4711-AEFA-0EAEF6D3C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34801440"/>
        <c:axId val="1434800000"/>
      </c:barChart>
      <c:catAx>
        <c:axId val="1434801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800000"/>
        <c:crosses val="autoZero"/>
        <c:auto val="1"/>
        <c:lblAlgn val="ctr"/>
        <c:lblOffset val="100"/>
        <c:noMultiLvlLbl val="0"/>
      </c:catAx>
      <c:valAx>
        <c:axId val="143480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80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[Company Employee Dashboard.xlsm]rank for sallary!PivotTable1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of Salary $ per</a:t>
            </a:r>
            <a:r>
              <a:rPr lang="en-US" baseline="0"/>
              <a:t> Rank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'rank for sallary'!$B$3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'rank for sallary'!$A$4:$A$12</c:f>
              <c:strCache>
                <c:ptCount val="8"/>
                <c:pt idx="0">
                  <c:v>CEO</c:v>
                </c:pt>
                <c:pt idx="1">
                  <c:v>Director</c:v>
                </c:pt>
                <c:pt idx="2">
                  <c:v>Junior</c:v>
                </c:pt>
                <c:pt idx="3">
                  <c:v>Manager</c:v>
                </c:pt>
                <c:pt idx="4">
                  <c:v>Principal</c:v>
                </c:pt>
                <c:pt idx="5">
                  <c:v>Senior</c:v>
                </c:pt>
                <c:pt idx="6">
                  <c:v>Senior Manager</c:v>
                </c:pt>
                <c:pt idx="7">
                  <c:v>VP</c:v>
                </c:pt>
              </c:strCache>
            </c:strRef>
          </c:cat>
          <c:val>
            <c:numRef>
              <c:f>'rank for sallary'!$B$4:$B$12</c:f>
              <c:numCache>
                <c:formatCode>"$"#,##0</c:formatCode>
                <c:ptCount val="8"/>
                <c:pt idx="0">
                  <c:v>350000</c:v>
                </c:pt>
                <c:pt idx="1">
                  <c:v>289757.14285714284</c:v>
                </c:pt>
                <c:pt idx="2">
                  <c:v>80359.647727272721</c:v>
                </c:pt>
                <c:pt idx="3">
                  <c:v>195022.60824742267</c:v>
                </c:pt>
                <c:pt idx="4">
                  <c:v>263604.09638554219</c:v>
                </c:pt>
                <c:pt idx="5">
                  <c:v>125519.67826086956</c:v>
                </c:pt>
                <c:pt idx="6">
                  <c:v>236288.76576576577</c:v>
                </c:pt>
                <c:pt idx="7">
                  <c:v>322286.25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A-4D18-AE5E-17B64BB8D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4808640"/>
        <c:axId val="1434799520"/>
      </c:barChart>
      <c:catAx>
        <c:axId val="143480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799520"/>
        <c:crosses val="autoZero"/>
        <c:auto val="1"/>
        <c:lblAlgn val="ctr"/>
        <c:lblOffset val="100"/>
        <c:noMultiLvlLbl val="0"/>
      </c:catAx>
      <c:valAx>
        <c:axId val="14347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80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title pos="t" align="ctr" overlay="0">
      <cx:tx>
        <cx:txData>
          <cx:v>Number of Employees Living in States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2000" b="0" i="0" u="none" strike="noStrike" baseline="0">
              <a:solidFill>
                <a:schemeClr val="bg1"/>
              </a:solidFill>
              <a:latin typeface="Calibri" panose="020F0502020204030204"/>
            </a:rPr>
            <a:t>Number of Employees Living in States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regionMap" uniqueId="{ED2685E4-6EF5-46E0-BBB9-F16227519E45}">
          <cx:spPr>
            <a:noFill/>
            <a:effectLst>
              <a:outerShdw blurRad="50800" dist="38100" dir="8100000" algn="tr" rotWithShape="0">
                <a:schemeClr val="tx1">
                  <a:alpha val="39000"/>
                </a:schemeClr>
              </a:outerShdw>
            </a:effectLst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i="1">
                    <a:solidFill>
                      <a:schemeClr val="tx1"/>
                    </a:solidFill>
                  </a:defRPr>
                </a:pPr>
                <a:endParaRPr lang="en-US" sz="1100" b="0" i="1" u="none" strike="noStrike" baseline="0">
                  <a:solidFill>
                    <a:schemeClr val="tx1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  <cx:layoutPr>
            <cx:geography projectionType="albers" cultureLanguage="en-US" cultureRegion="TR" attribution="Powered by Bing">
              <cx:geoCache provider="{E9337A44-BEBE-4D9F-B70C-5C5E7DAFC167}">
                <cx:binary>1H1rc9S6tu1fofh8nWVZsmTt2utULbs7TxIgBBbwxdUrCbb8km35/evPcB6QmIZk351bt7qhoJJu
taY0NF9jSvK/L4d/XWbXm/rVkGeF+dfl8OfruGnKf/3xh7mMr/ON2cvVZa2N/tbsXer8D/3tm7q8
/uOq3vSqiP5wbML+uIw3dXM9vP6ff+Pbomv9Rl9uGqWL9+11PZ5fmzZrzG/e2/rWq81VroqVMk2t
Lhvy5+u/NyZGj40uXr+6LhrVjBdjef3n60efe/3qj+W3/dTzqwzCNe0V2jKxxwihrvCEvHmJ168y
XUR3b1vEsfdclzPPZsSeX+S+77NNjvbPk+lGos3VVX1tDIZ18//jto/GgLf+ev3qUrdFM89ehIn8
8/XHQjXXV68+NJvm2rx+pYwObj8Q6HkgHz/cjPyPx/P/P/9e/AJzsfjNA4iWE/fUWz8hdLIpzAbC
vRQ61NtjHhOOFOJm8ufZf4iO9PaoZxPPpu539G77vkXnaXm2I3PfboHKCeZ4B1H5K9v8s8k3LwiL
syc4Zw635S0s9DEsHt/zmE2pYzu3sMj7vm9heYZA23H53nABzF9vdhKY040qru+n5gVsmbtHGXBx
H2jDQ23hcs8hnDBbsFtY2H3ft7A8Kc52UO6aLSA5Xe8kJFhhJn1BVeFsjzDmEtinW1VxHqsKcZ09
R0iP2hJK9NB2PS3Jdjju2y3w+OtkJ/E43RizuYxbc900L+hYmLNHhEMFE3SrYxFkj9suTJiHeOAh
Ks+WZzs4i+YLjE530+v/VatJFy+oNJTtOZI6jkfuDNUyKCOAB3ZOcpffwEceg/QMgbbD873hApi/
vu6k8hxc6zpSLwmMs4dQ2PE8hGQ3rwUwHt1jjEGtbO97YPBQe54h0HZgvjdcAHOwqxqTvnSkzPY8
KREIz55mfnmP/Yx09hiVxHXdO2Tcpco8LdF2aP6q71susPnrfCeVZnWdbfpN/YJxGZV7tu0J7tzH
ZQiHH8Zlwt1j3OOMEkA4vxbYPEei7dj8aLnAZrWb0dnpph6zTXF1v3b/+5gZGaZ0HQFkFpjwPWET
eCF554IW0dlzJNmOyY+WC0xOVzupL4HOdL250i+LifRc12bO1uCM2O6ey4RH+QKU54iyHZQfLReg
BG93ApTfsxK3LvhWWR598j8ky2DIEBO7wnb5Y22RsHDEo6DItvMwC+7q1/JsR2fR/NEQdoMYCzaZ
+qbr4kWDMbHnuMj3JblLLREFP3QrhMg9jixHEEZu/cq9it6m+8+TaTsiD9suNWY3Q7JAF8X1ZaMu
2+Z+mv5778LIniuQ/FPqbrVkAkQaRTxNnIXLf6Y0vwDn4VCW6FzshD17JDWo/334GHX1gpmM4+25
0nWJQxeO30Og7AnKHFAyN6+Fj3mGJNtR+d7w0dgwtN3kLo+KK7V50aRf7sGSSSHtW2Mll8DwPSiK
Z3N5p0vsXk9vzdkzBNoOzPeGC2COznZSVQ6RvSh1Pzf/vQ278SJIX2y6cPpIJvcQOs9BGrvRFPif
h8n+04Jsx+O+3QKOw6OdhONvZS51YdRL1izZHqfIEinqL/eO/aHj9yS8igPrJrebsGeJtB2bB00X
8Py9m/B80G0Tvwo2tc7Ui1ozuidtJI8OuS0b23AjjzCywdeAJiOI0m5eUK6HyvN8ubYDtWy/QOtD
sJPKdHS1iV8w0WQM5WNpC+c+QF6QZoRA06BFApnoY3ieFGQ7KnfNFmAc7Wbif6ZrqM5qk+rmBQOz
eUMG4xSaARN383qsOFAnsGVzdeBOcRAmPFSc50q1HaDHrRc4ne0oTtf/1C9b1JzTGqSVVIjb8ou9
KGqCDvAI1GompG9ei+zm7BkS/QKf7y2X2OwmoXmUwe1oZe7X8H8frjF7j8CeMdBnt+qzsGkIDgjz
OHW9O6pmoT/PkWg7Nj9aLrA52tEMR/cvadecPey74K5gt8HyMiCQFNyabXNyF0zbi4Dg6AlpfoHJ
TaslHn/tpPM/VcbotlYvpysg/ykXqIjd7e37yY6BCxACNLN7V5hZYPIcibbj8qPlApvT3eCbH0kN
fuYELri9TMcXxEbMPoY6qIw9DgA8FzwA9gMiSrg1cAse4DmibAflR8tHw8PovuykwrzRrTIvTNLY
exKu3fbcRT4jCfIZ4mHPxp3bWaDyLFm2w/Kg6QKXNztqyHTRvCh1hpgZW5VcIrHx4ua1AIfYqARg
E5rD6QKW06dF2Q7K94YLSE4vdlJVTtVlrKLNy5I0HraXSeHd5Sk/mzHsPQPdOZOe8+sn3/K0RL+A
5vtYltgc7SQ2b9MMWf+L7l8GcYlqJaKxW3X5aVs5fI898//i7lCAvPdrt1TzcyTajs2Plgts3u7o
9kyFqpl5WQKAYxezJNitdJc8ksf+X2JH7bxfFgzAY1ROnyPLdlgeNF3gcrqbRYC/R42zM9H9BL1A
WunszTbK4b/YX4Z0H+dk5q3O9l0AcN/3rco8Q6Dt0HxvuADm792MyebAf/5blup+gv57cCjKyA5K
NN9TetirR2Qz3L/LHbCYdxtqfvI1zxJqO0CPRrQA6fTDTnqcs+tu85LFZuyboThDBqu2fbc5IRwA
uXQuSN94JJi8R5zmk/Jsh+Z+HAtUzj7tKCr9q8NNXuIQ4EvuzmR0j3suJ/J+j8YieMZRABdEp4O6
9G20sHA7Z9fPFOtXGD1qvoTqcCehuriewwJzfX2/jl/Axrk4UwZG2fbuwoIF54wzZ5RRbIj6BUzP
Emk7RA+aLuC52M3oYF6yx9e1uR5fDp+Zd6bQEZfeFTwX+AiU0uCgcFr4JtuRcpGJPk+m7QA9bLtA
6Ox4JxXotg71/6AsjcyHoqApyRIelAVA6nic35V0FiHC8wX6BUQ3xcIfA1rCFOwmTFCk0+tBXb5g
URqHn7BrgGLX5h0SC39EbL5HkJ3CEv4UJjxHml/g82AkS2xOdxabL7pOX9DEIQei0mHzweab1wIZ
nONAkI3N0ffH1pY6hDl+SqJfo3PbconNbmZBb2P1ghoD18OwGQ2swd0tAQtcsKVT4Hit6/1iy8BT
0mzH5LbVAo+3uxmvva2voxe9VQO7n+BLUGa+q9EsEtLbWzWw+YkuTNjTgvwCjLsBLOE430nT9Q7h
sxmzbvOi5wWgJp7kONU0F3Dm10JNhNjzqOfNd23chmhgrB9moc+VajtCj1svcHr3107idB7j6pVX
R+Zlj6Rhdw13POzfvCs6L49yzgkpQRY0H4C+eQHHhzg9V6rtOD1uvcDp/GgncbrdDPniO9UQqFH4
erADtzgsDkNDy/YcaoP14Ytc57nybEfocesFQh9WO4nQ39emefVJ4bT6i5o8bPDANTW43AknOW9e
C4g8GyekqEAs/cMkPlSlZ4u1HalF8wVUf+8mDXdxPbzoFU8E2zmpxxAM3HolRAQPuWvsJaQIuOGV
7iBceKUnxdkOzV2zBSQXn3dSez42m/jeB7wA04YZx9UooNl+HOZ8iAi2rM9UjuM4fJHgPCXHdihu
Wy2Q+Lib+wg+Xdc5tlS8HBjYom4L18GfZbSGqzhQjpMcTMDNa7HH9hmSbIfje8MFIp92FJGXdyqo
dMKf2PP5jZvXEhk4HZgrj90fX18i8wyJfgHN95ZLbP4/xc+/vkrw+52Lq02zWd9c1vjgNsHfv3sz
eFwiuWh6F+RuNXC3Tvvo6s/XlHOPPTjXPn/Jo/D4wRGmn1pdb0zz52trvr/O5g4O7jouqqpy3ovb
I0LBW7hHxfMIqkGSwWkJlFVfvypmbvPmKknQcg48Gd5xsG8UYmDD6s1b2Eg6HyORqAKiUCsh4f0g
3+lsRO79fUbufn5VtPk7rYrG/PkaXZS3n5oHyJAW4FAxtUFE4dsIcmy8f7k5R70fHyb/xyF2nLZu
zE9kpOvDOifDO5cU9eE0jukUNLVxNw8m6Jkdivm2P9AstoeQ93GHKUZdOmXunlDX8Vak69XBJNvh
Hc+86jAaDUGZ5PutnFv6g4L8NEDslb7JQ5GROvbj/mTCJyNx8vBE6JhvEokOaJKQC+N26uD3XSF6
WHYFqIE1Lvm0502lj7uq4z6O2pSwkzTv3Y0SSX3oNpMqfe5E5KyZJvlJpAk5q0N3ANnwH44SKwlZ
HnI5bN0jCxj7Ku1G26rZiXESdlR4JXF8yy28Vd5FRR78vjOCMGo5UKxAIh3Qk2BmZh15uGgGnZlc
DIqd9JqjI1HWduf3iZ2poGtEEvkFTcr4OB8G4wVjHXfmMyM6i1dDpqzAdgqJXf7/2fDBb6PeABpb
cJwinZF5sIoTEodtFoXsxOsZhivzSh3YVop//u/6IgRKQ7CEsXAWCypKqJ3F48hOqOnJWcsscyWa
fDhvE6cEw/q7Yc3z+Fg5OS7E9XD+AtdkeLaLOsvDYammrC2uW3bShfE34xi5bp3cegLNnxUEnfCZ
zsT/sFILMO0uYaJxMnYypUafJF4Xl77HSysgU2op//cjIvPsLIdEcd5n3j6KKfQWSHkhJd1kEXqS
OCrNV7RDnyS0DPez2pRfvCp1N4yPUFIlh/MxbuhR1IUUXMLvJnbLCuY2g9mzZ1XFVpaFGKFDnDDk
KTsZvMY5pmlBLL8KpfemtAxWaCXzfJ2mTs39cWpHsrpRXrc06gAWpD78vTTbEMBNZ7gdaEYavPNj
mNNM8iFPSyhvFw7nCBN6vy9afcLKWq7/8644UiSXII9FhXuxoobSq3UtKnqiXEyvlBFU1soGmHqP
A4nfd/bYt8B843gKTkRKBC/o7qflW8aNzqqqtI7D0U4m37Lq8ktBs/LL1HvDu64YYR1+3yOZcfux
vOYucZXPfLwcwSwAnj3qQ40p0wk3zRIhj+2wVgfMK6zMN7UZznlvDefKhMCVutPwLvYS50JFUKl8
aPSJsIqyX3mKV4dTBfd3Y0EalpYGC8BRkx/G1kRWiuinJgknrR/LDMcvYE2xEHHIlyIMX8BfeEPC
hpyyY5PZ+b49xdO+Vtzaj4hJW1/b+ThEQZYltQ4DnZQjX6OAwd/XtZXl6zHJIGOYhwAydKPmaqJ5
czU4KZaujCfolVNZsLx2nZDOd0mfRj6JJNtUsTecZ7yqD+0EzWqb0yMxot3KJA496p2k+tJ0Qp94
EaPHdYIJ9Mc0Gd9FKrPqNUea/amZYisJYhlW5JAYF19tRFz3q1zGPA2yWoXUj1pF+UFWVOjDw0xz
E4/vqgoZo8865sR+q0pyZmKNFVIyUn4ZtWimAyucJD/uS6pPTBPl9WqsSREfp1ncXKVJVn0RZeGU
xzlR4zlI6uGd5TRW509lGqmvZJSATEyUp6nfe334qco01l6T8k2qHKx2ljjuZiTSXBlSzh6669xN
PqbOZTmFzmFXieq85k1+4PaiCoSKWOfD/nau30sXHoaMhFxYtIKSDp73hoWpFdCBYUZDFX4amaMO
QkrNVW0ab2Vph1w0k4P5kX0ozo2Jpk9O55qrUjLglPNefiJDba7SPHIcn9NGricTEhp4Yy0/teWI
T1nhSI9kWOBb8mQkF1ODeWOtbapbj1rAU++XhmfUH/O4Tg4jNjSZPwqBlc1izkY/L8ZJHMdzYGIl
YngXVbl8YyfOcJ7qkQ/rzLYsvnKLjJxVqsKqSantbgRPMZtjkpRN0GlvLILODgU/Lmd7aXWiMgeG
dVV24AwOhMGdT2m+rhv4Ra5j6J+2ozFa55NHzmIrzwClmzdeEGqv6ldiZPA3TRqGmU8KirXcJZb8
ZOwQX+s1rbcaLDq8K4kHX9Q0Ih32xwx+2W8K16FBSaPpdBLZFAVE5e6m05W74XErHd8UtcxW7kjq
DxGdnMNp6iOxciLOvhZdV1x4kxpPs6rLVpUZNPETKyPePlF2fawy3R1F2YhuTDYMQV9Mul3ZJuQX
WTap3re5V6S+cJPxzMP1lSc5i3Xp56mUgXINDQbXYsFYTONFKm133eq4LI9Te1SIjHga+5NtivdN
abzCT8I2v9Zu3Xzz2KSPcI6pPcNdpW0RjEMSDkGbwjIFUwbD1dtljUmwxvIzz9La7Bt35JfDJMjK
NEXxRhu7jvZt3EPb+7It1YokujjodKvPZNKRPigmE3+NqOX6Qjfl6chjflAVY3hCxkZUB57p+ZdS
5c3+WJTTVx71+piyPBr9oWfT1yKr0rXrOlNgSAcYvdDtgjTti69JmYhmVXSxWaV2LQ7mYNT4YqiM
s6rr3FpXiAH9DsHLfu45zWyYQr/QdnjepsY6KtKqPErq2OyPbjteh5Hu17GlrPej1PlnlXYsyMai
8ctCpX5SGeWLtN6IhkE/1GStQiePg7aryX5eanyRZ52xIbZh/mmotZ/WNCYrLjKqmyCtJC7w82uQ
UpGekS/7N4h0vUOHktFdFarrfRaG6IhlMlyxNoqPPF2aAA8liFeTHq21k+v2Y5nyqgy6wuy3bjoG
RWxfZsLozzJTjq8kGfaNFdJVm0EOGTb5e3ilKQXwU/yGs6r3y8gGoiJykjdayOKd3bTlu8w0WNQW
R0S2GcOGnFlOApUwBhnDWpeNk5zwIUSA7dChqQJY2+Yqqm0YJD1JcjHaE5as3XTyUy3aIVp77eDa
61TFQ+E3urI7PxdhNgWOa+kvIWHDu2yorECMWX3YGAl/7LVuqPzMYfpE19n8bWQozUGqGpggWGME
ZqWGtR2QRxmTIITj3UQuupJB9dvYrQ7ZwJLh0CVp+aUssWwDLTpt/DQrsi+OriLEc3Hb+4RqR0Pn
Y1PmX90k9spvY9kx33SiCdeZaMy6SFh/nXt9FQVuarl/Sx7KozqW5jDTYxT7xRCp1s9IEv9jumaT
lC5du0xFURCOMB+fs8lqrQ9qKjU99JzYO+vqRAU8U+k67vvqMLH4tD96RflxklEufByJ6j92bp2f
86j85mTT5wGno9+mjdMcwq6KLHBk3a5ZWzpXURNHV5NS/YeoFUAOGp+sqy6NpM8i0U9+F6t09KvM
iGPu4gEMq6HPyjwwHHY8SFsT9YeNHOwTVunxtDINPefToCy/ztOW+BwoJAGCHfnJKrqhWA+kyU6H
umZvJzVlbyvC2vNceVVQa2IuWWdla91M9B8teXfS8HJyfDd0FPeNR1WQxnXs9+3USz+vMpgLGbqr
JPfY8dh3/4Sl1X/omyh9T9rWPq1V5H5Ne55GQZ3FEr6yIMqvRhqdSTaq03pw6bEle8n9uIvMxlF9
eZKjMLIulNueEG5boc8ak9cHBCZv30Iw260G4jihr1gohv04K+gFT8vysCvo9KFUcfjGHtvpfRPb
2pdd1H/BQ0Cqdm0bw9TxoIbBDTxtW9z3wt5Lz/hg9+WBxFXfh8hyrTeJmPRHW9WODKy0zQvfsYSd
HrZYPGc9PPw30lXmtC3L7mCAIzwpEpNnq1LGofE1QXoRw7gdpCwkKigRWVhB1InufeR0PfWLJHRL
rMus/pIODfVxraj7ZlAOzCi1R9kEVdkV/crJ6zYMskI7p40YJ9cfZUW8tZcJBoNI+mvt8Dbcl1Y1
7UdlxI4Yq5w1zfh0aFqhzk1Oqo8tGc0nLxvZuhumNJiSQfmp4MxndhwTf5gSsaJlL1RAwim+svMG
fqixxy4IrU5lK4apetdNyFOKbBJ14OpQvXVsMXy06946dVVDI1/Riu57Fq2FX5SFu18Z4faBdpQ0
By3W7rcwi4e/S482l70biqueN1zt2yVvTWAy4mZBojNR+6FH9bepmSq1quNpbA9FU35z4yF6Z5Kc
wsvhcSzHtB9i7WtdVKt4UNXoM1HXQQrv/NbK+mTt2DxsVjJCzB5N4zD4dqxF7Lsta7yTtLVH32Ki
+xzzUbeBiKbkrS1CYfthWWRvC5lljV84g/U+tihQy0AgscO87LOh/TTE1RCy2wz2jn18d5tM3DJo
lxqBlYriu8fNfP/xfy50jr83Dz/58cv5aTU/fsIhwNvH3Pz2U7iKej7SYpYfmqX5/l0Q5k66mX98
9MNPZOg9E7igO2+fmvOLN5/Hhc53CTxIxn6iQu8fFfCDB71tcUeDguTek8LxuMSFeDYOYiNzu6VB
caskbmlB0RR0kiMdybG/544Fxe4ECidtM8GwnxQUKlKnOxbUxVu4lQLv0vmKcAcE6f3wHmEI6vfu
54cs6LxV6EHeOItDHOIyPNECB/jBvC7yRk90Y563NruO7alMvmX5FFJ71feOVTWrpkmc8VOS4UE/
+2akGay4GV33cgizsnhDtKsrZ7+0WB76aeVZOvULGdph7HtZGg8fazu3kjGoWckn7qtwiDor6GhX
sS6gWTtOdKWS1jhvCUJ1qFVkwx5/jJs2rNdZ0kbIIBgSGqfypxY00QE1kapcf1CJK+sg6wfLC/eL
LjGlCkYTh7BeD4DcMjtL0gaJKe7IIRx73riLffHL2dGGE92Yyb0uTd/JzM8jEWepX2N3Y3oqI1ei
y4GoIv9W8VqNF/NTeCCaE7c1xlOQPho+/l4kZ8EjzUUR3EAuGK4eAZ2BbRGPE32BpCXXpo6uSGa7
6WkJt58eT6xFdHgQW1z1KUIdFZPET+PSa/00GcpU+Ild6nSjBzNWlS9aOO3jzO6MHa+nMJra1ZQN
gGLdILOdPsU1D61hzae04mfTlIIrX+eSGbfy7Qg2Wz5Bji3oPtAW8xqcL7rB8WuUBRbkTBinCAAQ
J13bvTXyD26hLH2eZ6Ge3v1+9qBRD1c7OsIJbxwh4tj7g8nzFozDmOWVnBBIXs2nIAhdl1mYMtt3
bDzOZKAiYW97o11Y8JG7mdUEJYlEd54qt0i+/V6SBfU1S4KtlNQmOEMrwNksyEdCo9GWQ8KvOuPV
/Mwtx6RpEANZ2GhxHBk+ufyJSZ4Xxg+GiKFHGBPc0UWxCFHuFItJdlSRpaVynauBREaxa2fMRBwf
hWWLtRAhfcSws5G37VPUG/l5rDizhYoNB8cKK7ek+RKtSdp3Tn5lMubm4lAhmf+YOQ2UOWhEFEbl
20FOoZ2/0aouuL12uzidPiVGlCX18wyWI/TtJMzl+yThKBkFcVc42Zu0i2pvPGx7xvKnqMmfliTo
KpCFLth+G3nRkuy2SGQJ+Hp6mbVVrcdVNZZWl/qdN4Vj/wQyP/eFhY8npXDbwdkOsBWPVZrWmall
kprLwZatN/mJyLzuPHQshSXx+2X30yJwPZw9RfiMlQDye2nQiEw9kBV2cVmMTY3JrS2ZJt86Mlru
Z61zrukqzDvdhE/0e1PderT6XOT74PhQpXHAii7NVmgReyhr1/pncvG4uCmQwlWIqoRXxrUdEJo5
JjuEmqRiM8ZZNCBFretalkFuDU53ofKprwsf1N3U/BMVJJH7tODOeOLmIzPe6olZ8pZLFgIK9wZ4
Od8svFyybtSXdd7W+p/YUygG+Yk3NtM7w4ca+EwjiJ3uQBqQTmcWDRXWhykYgzMo+DjCWMqUReMl
sMyTb9zMu93h/lg69X5HmE6+3RpgFpawLu7QRvyziSSy5aDLRQrQOyTdQKeoGw43XKB0AETiPJxN
tGXiGB0645B578O4bIYv0ziHEH41TCHmwkkSCiNvTyB1k32HVS5WbBX3CmwSZ0l+zfuWKOLTJjTT
Oyxo6X4uVAGNqyeQkchQy0QWLViplnxGaaRMinXLh2z6NDVUdBddXfHu3CT4Te/HRQKd8OOYa2Dm
xEOPrhEDIwcMElpaMCqhh++gYMOSJI72x7jgheubPnHwSU5Alca+4sLk/MDthrh53/QihzMbqyGB
CTY1S6JxnUQSXVuql/j4RPu5NysaS35GZaqqL5Wn3O4wBB2nTjNWeONBT8xQnMSVNbbH7dAOWEuD
F866rDpFxhOvMzGcpR02s8+sPJAp9WHpVY1xAs2KMk0P7wbgJk2MoRYotfJkZduhhQl17QLLzwzR
bDCzXNhWvq5AlOE/JcoxTwJTpuAb776jKiuQx1SFrooDLDndDz6NJxdz0FI1ouuhBKd8PFKNMUW3
s8pAMmHmXK9s8YG+b+L0uMjq1soCEsu5R2oJRG1jGXJMSzkK5NQrmK55uWjZwGvRVBdYNEnIk/y8
aFwtxH5C8QAUkBpu4kCnukKC/1hFTp0BMzrY+EIwaSQU+03UoGx9bLFBjZdVPnSYQz2Ap8wCnFHz
SPjBy1AXTlaTaL2sPwp50aUqiCY8f9JbJWSgeG/kiBYxiESWfDitaNgV0Vpb9Yy7cDpYgXU90Q6D
0ShNQZKaVgw/RR6yte5Ymo7hW/SoGVShTbBjPgHyjYA1rh3dQKQRo8cv+zaZZWEyxgPeAi4EVHBE
XQ0rhU54EtJhh21AEC8BfTDHbWFnp+rMYKuA+1m1DD8Eko4CYiVMznNcdTlmsB36FtM5eWJecxlC
QHaYNAPy+f3I5vMSnUPr7qL0CvyLzDeDAoukgW1A6DghymC9gp6P9TjNxiNOEYglFa1nlWZy/tIa
d2sBCdcgbgRfVRLaXQiVOpgF5ISlGQ+7wUZqedqBAcYXVrVBDSSYEIvNq5oqVTerMpUTcQ8HL3OH
epXYFzJ2lexWBKWj2TLFWZxM++Ao9t1URiXdb9IxYvYKaxuEd9TZ5fTOHccBy98znsPZWuY96Ee4
PlS7z3D0uktrP7abrLIDHiZUvdUkViASEKvPCINCHG2y70CXO+tIGVTFQaDWVaNNMGTGWP1JGhoB
GVH2BDYV85R28YgfgmJVUIQJtnh8QP0pZMUZHqQqBy/gtmJ9toYhhrlZI4VPxiqIylZL6beI24fO
Dx3exIchTVo3inwvhZnll1MPHjqeje2IMcsEdT4V+3U8xHH0JtVxS8RZM0gzLx6VzCZFNP1Ylfvp
GM7r0m4HgzUUUlWl0Yme9IT3Kqdra3I2uRSm0lQFZmmVp8Cj8AfbIm11BhrZgclNiqoFSgXBNpZ4
rce8x3fJyp6tIEhTiZVrqzJsun27KXt8EilMhfeaOpztUmp3+fBeNskcEcYgYmGeSjZwzF8TW7AO
HWYRukCcxmBBdVVNR30E9KvRPfFG8PyHXmYmCB4PVouuGQHZWe7DXMIddWMp4OVzUDvQPI9ls5Nt
mrbCchxA2Gmwol49wj6MXmyxt4M91iWokzF32WFZNQWG5GkUU/0pd+Zoxbb6dLzMvQrZyF0eAqs/
T06vK6rlQVrDqsp1FCc9tY7aZJpqFNo9Gq2qsC/CNbPbsPoQVgMGrzSc/7juRlSfyn2R9BZmSeex
gGIn7YRw+tBT7TyDd8s6V/383sg0xcKd1DAHzlxbs7k3lgenRSysSrqmopZ17yPqjWzopxUpaC4D
lS+I38dElGeOgtkFQ5iihIMaGhn5V6vos/qDnQ/ZhXQcmWAN1SgQHfOi7NJ9rru2vCxz+JiTOsot
dhpCUorHEpSq+qpgc6f9VBQ6u2JJNtXnueY5ngc8kax/O0krs/3eylAZLKnbl4XvJYV0y6BilJl2
v+9drzurqzgctM9zOydvaAa3ug69piNBBYxqGPnBq6YEXrir2RBEQ9rNQepU92MGvmnMHOljK8XY
fJEOadkHnjUji4KkYulg+TJzxlD7pcT4Q6zTMGqOmhieLAvElPXTtJIqm+x6P3SmXp8MUI7W5016
2uMJv+V+J0VEVy4CtOkiSpxYw/HxRhybcWw9n7LGIcGIU3569HnUGDmXA0US4L4gpw4iN4sO8XDB
ZlVpu59OQlnY9gHpSezsh+VAUPVoUN1SQRxS13pXpjpnH1tT1Yk+sEsxltVaansYLoZmoM2phTqQ
dc4sZqZPTYFV7bs15/XHSWAbkPazhou6PPAGN5pAtHWi5Cs5TFn6v+ydR3PcSJeu/8qNu8cNAAm7
uJtyLEqkSImmW9ogREmNhEu4hP318ySLPV+zNEPGN+vZiEGjApDm5DnnNbhIMp3Ph7X2oooGbFEL
V27Dbu3b6Mmp8kj9lG5Tj/OuCPTS/opzXwzDdgibOgSK6H1tX+hEtX60GwrbL4OLpLKK4FPshFZR
XIxBQ1orf8lIgWw62zoqBrfeOb5e1gAkWQsr/dS5PEx++5J920uZBM6XKa1qsIOpzsyB2lSiavyH
afGbxts1ydQlI/mUnZKjLGPok40l9sSG6ebF5JrK6nIyqE7MozlWYgIJm7uNTPrYcYCzHaQXmAhX
+bbJMDNrSZzkkC/llJbmwZop+ri2qUVK6st25OjxZZVzyoA+pu56AbjKZwIB1Sb7C/rCVA5hDnOG
Vow3VmV8MbRVFvzpqx5f9wunscIivkgtTa+hGVqfMOn3PZl9VFiM0gUCBLLgySZ3s7bxMjXEsjzK
zKGRWFMycYZXPZDO6KhgFUc8w0tSIuVSZ1uX1VDZPCh5SUS/yferzgTEqnQ5oyc8rEhNJvrVDFCj
QnNyAsDO3GmXypBrD+Ea1uvd6PkwBrZ1Es98mJ3XCXup9+uO++/j3MTJwgtL/sTNnZg7UknTO933
uItNvhonI9HG1UMXPAGyqPoQuHmortI6HzkWddOYXEo1oUlZZKzNGPGW7kA7fw1WvxTxbiqdcYC2
ARxsO5DLkpmxje3OZ/iJ4YtJkZ7bPUFfmVPq5QSDYcY4FrVtOhZBPJm7d0RiMZB02/O4vliyiqKj
HCwGljCTmzsYekuyfP4eibVlC22GRqxkpKGSfGJd6aDydoWjlqjckBCZpZhBLKJmqebE/7PsHHpP
p2nkwHScR8q/Qd9HbTLzxAL4hDkaALac7pNKi3GStytsuST+OhZgyMVRNkFaTZcwJoPxfoU9yVM5
a2OaT103jJm8bGxlkgpb5xkp+OQupiaOgpbFUtGvc+ZtNoG86p1XuGQpqZuYbH6sm67zj3aT9mN0
u2rp1tlVQPec+1lWz+wDITqbRx0Lksz7svfMFmmr1jS8VN7yB8nomUTNKSmNs9YxC0wkQ9a6F60b
gsPt0tPpKscx5dAc6olEdStEQxYYiM7kmzow6zEp85zM2mYE8r+SNVR8w8/NX5OVdOvtVEYhx6Uj
uS93K2VoUsMiGFKTzIvG3O1pexTaZ17KYaqZVMg9QldXYhZj+m2MpjSDdemEgCbbqmUtlNtsISfI
D17nmbVbKjdW19XkpKPepWUfOcMHPqASJLVTvTC3gzVWXEutHY9gN2NmejCOSa3jsabkA6rIuu9j
B7Gl2kDRaTTBZZk8ceVNji7UJvFd1lllu6YIBJWkYgNFNRPSezHpJYUn86wXf10+ismlfoIhtMxg
U65oi++jdGYGJTllPn1qj+QafR11PG02xwWJwUtFHK0qJjGY09Sm+lJpK/gupWbp9otlWfMPMQ7t
emtbo21vhYSQFe1G2aW9dYThJ4b7YC3FYG2tyWH8LRmbojsMIpOFdbNjivww7kwin4KhjvdJn6TM
mq5o6AJoRtYK36EbfUWOEvv1+siom4i7Oi0172ULkjb1pn5gOQU+l6e1l6wmVDbE5ODYhP6s5V6F
M0v/CI1HUqoUEXnUaeupsTSpVWlVsao2SwvvtN3pcezNwlCTaYsBsi9mSYZ2NKkb25tn1TIgq6m4
/djSDOTkhGaLUy2nzXUA6Y/kdZny9CKRah4+B3O49pcg5U55jHqXmoKDzfLID8DYR0InXIuaj4k9
3RGr8laZTNRVLlEcZshz1TgXKSD7ZQvLgiBFwj8E256GnFvu43Q0VeCpsCiT1dx0vc7Tkm7ZZQvc
Ix2tVLzeGOUsdIokm9U/SaWY0swZzK0PauYk3M9ySLTeW7PyiuuwoTnCH64LKwrelglYmmm05HYu
+ixTm8DK+hVkQApVfBf1bCr05RQ54rk3iW7lFGZVvt01+i96Rrw6NOZ9IdCqcXE7ay5Hcw3hKi6n
pznRps4c4QBJf2d5S1vGm37oeN53LnneOaRNhdbY90w7z/j5uq87h0ujVGTrQD/5wWTQm9PSKCPL
9CrffrrfLxUaZ1oU6QBGQFNnTUpXps060p14Ask28anmVZwjSSHBmtj19rWeu4H/7BbyPg8arxDh
Q+j5v6NSve305VQW4mkW1UAhM8gKj+Otrz3JNpSw9TkL16AmaAzK83uaKGPZRuUWpgh1N10Ig2zE
lLwm9pwi8wv2obrUlAgq9HvOhDBoJ757+/Z/GyrjbUFi69i8zA+Vvvn9P0jZc5dUOp1C/7vOnJn7
4IAyZSGHKyXU25f6bc1hvY3Hox+ABCGaOG8dk0ZlriKB+h7LSAzLMVmifHp0VlgkLkV6Or275M4h
FGOqgpEXXH/648jXztZB1/YiSsEKvjeeNDFKz2y22yEjsn9JXcQUyy6JyfdJJha+/1W6od3dEO0q
/x0u8/kwGz0XVm8GVWW74ebyepgnpedxilPxjZ4EpeMiJV2qSME5le9M6PkooxuzeVqBtiEEQTpv
XhckhpFwcufboOqwuNZNaUrzLKdSO47S8EzfAR5R1L7Calzeyk3bGZDXB+GjffT60XQerQSTpfvW
KXAiue9EYsIcQXFhXpOuLWdngxfvAkslLHzJyfj2unqWbPxzB5JqQWS14SyGxhJRnEcWL5Wl04Tq
WyvtJVV7sKy12NP1kHF+cUpbxk6a1BjLPhO/X5riFsIPyosq0IpzYToNTpXDVaFf5VsLu7hG5UO1
sJYQkAR5xFRH/S4S2oqmTeYUmmgdTr45LMdlqMd6JxObjb/By9T0X3U40Dxypm6eMtI3WnT7iGTe
1ZcZ0HK07urCMrlVP8LSWrZW54ZUMT20TuYsaDJym7AX5ohvmq7htsJTg74ntSdqQn43SVMe6eeM
z3VMspzkVU4ksSEvMf5Rmnd0Jt1xhvb0UaqCtuzbw//bgkPK4dm85yCKod/9trQHKgtp2evytZat
IGdNG21KoHjVJgN4aVm/fUmzW15NOKEWYzgwGrRJUXhOIAdzWnTbR9PXOA1Mj3HI4qC4RtnlFtYn
u7e5A8MMHCiiZohDTAQsbHM3b9/G+ZNDBIc7jz1TzGMDvJ8doipo1cRcyq9FTfvzQ1Z1unpwi8nt
rtxevyOROo8gWHj5oaBTFBjttHcuCuA1Emkmm77/NrZNvj76eWiWBXxfk1m9/Vzu2Zbm03l5tYdM
KgR5E1hYvt7S6TTbZalG90H12o52Ce1LnR4Q1WRUulk+cTpsALwrvoQ0bFiXMyZkjxRrfhdtGtq6
tGAoeQx+30yiJA91Vs8k6llKhSJDgsAPyOTStLVmy7QBIh3UbMIxCkybuKhAR+5HJCg8nFX4nEVp
CpObsDJWJl5TEBRze2lZxNHyAEs19TC1ekt9cjbejEFMXLHZpx4vhPgNCPah6cdVMMwPQ5Wbkzmp
gSqKjTXVVM5vX0qcrWczpwSvAMIFDjrEUYOE/uMQnuqGnqrjJfeRVz9fa/BpnRZja1L9gVBPCDph
7yUkHUZBzcp0SV++68bBdAisyWZwfS80/UxqwYZI51Z9QkfBKvLBWq96tmoAgtVUxXSxiIGCaV+o
hPI4Wwlq4+EF+AMtMiCSVeYue2eN7JXfjXVlJnz1c65iPSPx4ak1AW/O9HgtX5qZzB2ylmkTQjZn
3nWXmcbyC4TGjmTt5mAenHtJQpcDHrxTTbRA3h7S6PX0hWGIN5Rro4zEYhX+u322hFueYIzsJvlR
jiL8M+8goh9c4NFjUESNR49f6gPc+/jjEmVlsmu8RB0rtygfxzSDgauiQQGapmITW0vUbwKp24eE
+rWHjNuPciuj0T1mcf65Amr7YZi16BM6Sy5bsJzgZvST+qO0s/6aE0muVOtyLHZWn4s/VnDk8UPS
Tbm/acrY9nZ0DYtHa7U0xUE5y2nbx92tx6lUHLzSEtfh0o073SztHky8fJRQEz6UpQtKkDeadl5d
TEB42im/wQPwP6JEgYY/rK3tQEPswnuX8/l7I2vH3yRdIGlhpH1/4eZK3U+hGB4zISQ8KNvy1M6i
b/e1GNBclFbT3QUepp/0poZjPg/5AZhgabZoWIN5O08xTNjBq8YP8Cn3eophZUcyz/8YEAHSNU+G
Yqenrr5f84GWmOdYsIEty9vagf3Z04v95C66/wbl2nuQgz9s5RxUH4uwz/ZetmTv6Jx+WxCkX4ad
RqYCHvQbeWzw+7guvK762SpFPYfCCZVCJRz4YG8vvWdewr9OJ5Ye9ZTLm0wwU3CMYOxs6c1uVbgj
dJWfzlSzlIRLFN3U1AHZbpZl+EW5VWJUTlazsUs/btDXNVl5MWZ+gPZSw4aCwxbcdEEXf1BWGz5w
DEGnp92mH6uKM93Vqmo2rna8zwgD1V/VIKIrRdfy8+gu7h9xTvm2cWrHbrZpkd4IlD5yY4VVQFOj
AKJykMcc7S5efuZ1qumwD93BSX37uw1zdrtSV/1bKcLziDyPPmma0UmfU5lqWm9h66fqJ3tlvo1d
9DH7oKx1zpaxg4e3x/91MD1dDAMF88I4XrbAJV8H02T1SKu7WP1E/lvBz5rte0fR295UVXE9emKg
9k7r6jPwbFi8kwufkfC4uEkDSINYAEgncd9+fXHHCvvZi5b1pzeYVSYzIS9EnZfHeZ2/Kycuvwor
nneDmwJ6tAhHj55afLV7ewh8c5lXSzA0ZE0PPgiqCI7xswPFKZIK+ECGP9MB4IB2Wlds5sgP410P
SqJ3o1fNx7DS87DJrKYC7amrY03f6npsglFvyjC1blYn9Y5iXWicdUn8rcrop2+7wrrOFhVeLWK5
UKIS9/RAy5vaYnVuAoCxZbvqGdglr/tkGzZx+IW0cawPk5f9tQR59kmETXaBAsU/Zmnd3FS+LvWu
TvrhaSnl8IBCsfhsqYgDIpid6SBcPQ0bAQX4fipjiZKttXkAOTvxZtQpEECYtzlACGfinedb0VUm
F+8Ph652sgF08Od39vdrWhJTzNh6dBfQq1PN8irJ11M80BJm3sPkZ5t5/ierFfljk4ll2RWtsj85
E7XEO1d0XhNfny9JbkCJw9uroeB5Z9WjY7tlV3F0/kLD432gbWZVm2RYrI80KvMDQIQm0vtp97NB
9vyYpbO+yrLY/myNsTi8vbR+X+HmHSfQsiBHBUiEz6ObcMHainkqfkUBFShauTh/gkewgEthEU3W
Hv5c+yG5DJT1tIz5pOAnjk31PxgSTAhIzATcSN5+dzYkcHH6qkdT9iupgmXYPQsWg3WQ5VVWBhqB
5hjft50aDuinkn0TJ/NXGXVjc5Q9Sph3xuS/WBKRZ7qXLE6Iceec0LUaprGei/xXGtrBXRs4/Re3
tKxdSOvwI0fM8GkoW/2hQfZ+Wc7CudYq5EwISz3fZqGMoLyqabzKrEH8BTe79TdRmxV3b9/ls0T1
dVCgSCD4YjWH94BzTuPspsrvo5RJSmegIToudfKt7lY57tpq8Tet7Rb0pqoakZ/26fLuchn4jFea
7ehwxfEWqLqSu64Owj8zXY6maQ/4oaxeXhdB1h9bIeZPwSBRD/lh6m2QTLnTpkehJ+lN29Ww6Zyo
3kbV6jcXFgv6kBfauo4DZ+QPptC6ep7GBSGb2uV+1hzSibxrWztZcVUB0FMLCLwSNmVbKshAUw76
Dlz96I80Fcgi+zvtzupSVqXoNl0I0YkYAtC3DejX3oo4U4DlUDxnsGgQQR2UZbrtYa1cT03cozLJ
mgBGdOTWzqUR6HUXdpC6f+iuzv4c1KT/8jIE8ahM8uS9luWZKNrscd60IXy2OJxpisqzBT1WyVLF
rTf8ouvdpg+cbn6/pZO4bIbeHj+5wViAKfVrEO2izq//kqsdIlVL3Ga6EGHdP/pxmV7Z4VQ8uJ03
gJBwChy6vCvZDGkebr0WuPe0Df9XZ3G/NL/+//99Zbrzt8WTsWShlWgUEP9ZT/4mtDh/4ek//tOL
1iL2/x9pAq9P8WLItD7vtvtbawG9FA8o3CToKZBEojr/T60Fry6wIaDDG4NZT6vLdPf+dpyx/x1t
BWv4VcqAywsvciFxhWyNMB/e+dmxZiAme0nkeCWqNR7l9Vp0rhsUcCPafFFXY5iR+leXGS4Xv+Rg
Re2myIrp3ocRftmvOrkrqyhZN4rbv+6cPLgBpAmu5hx7Zaoaq9kadgH6bNFZB7Vmw59eX1Wfuihs
893oxsMh1lH2yZ0jsS38LkVIOq7uvkF6uPUXX3xCX+5vQUXbgz1G1W1R2OpWT9PwJYZbm8P5SYvH
bpmmD57VISWYu0D9abeoygdbWi6cyTr+Usqo+tK5Guy3WC9BFecLGsjpbdD66xfbKbsvcyqSg8CP
5mZN9Ly3JqE/FE28Uu2IYjuC4e496YX9Jiva8n7I8vl7GFbtEe1gkm48+Pq3mCn0t6Rk8o8WlSBY
KnYAO5GO7iGWoXMX+q2ERxvk+xEmXrqxbDVfdenkXkVt/wCBXKP9J0h0G28U7tYWzXrPqxiLLejk
UzEjQN8IIIMjeGF21WYqR8jS+P23TK2TJIgvyUNZ5NWnaBrlwYIw96GrjBRbIg3clWMUbnNVRBGS
Ziu7deM+P1plejMVeQ6FaS52q/Shg+Lye7SnerqapRqulOVkn6RTBdEGWHG5o/s2HApQzq0OCvcm
6ub+uLitug5be7ryerUcMcIR32k61x/y2NF3pM3lvK0Kq9jjCKChQ0o3uqwab7gGh7QPLSQUOAql
+mxpW9zB/NFfceYu/1rc3r6HzJbtgmJWN/AqLFxHoDP6tuYUSptl284qvqUdWP1JljgenKhRO6Vd
ez/BE76YbN/aI6Obf7ZT3984uqmvcog48CfHDOSXhYPi34rjHwJeXrdtO6elWlqFoqtVymLvBUp+
Vj0EzE0Qt3q/JNW6qex6PEQ9lT3ZyffRHaOP6CcxsxB+88mDa7AdlF1tLXelrO3TmT4kef9+tOL8
qqEVdizTJjraY1D+ylWa39pNrFhT6XpT+HnTbHI/sX5EtYhI9NKeVLedgnLe0AsdPioYyMQvKT9k
RVduBFTrHXQSmjhOZf/Rzfl8FcSFDW2mH67h95IB1007fu6sdP3alo3r09lp5o+NT04de4V/E7Xe
poua9GIcQ3XLWam/uGAF+8IXmvNnXIuKNanCDSKqAQK1nn0yLnT+UKOVRSc8CpJLDJuSSzd2ukt/
yfuSFMbxsOSYW4qMAJjpkTDS3C5IHo+A4LBjhsrfU33Y16F01HQxjE2zDdss2ndyaW+qtEpvOum5
u6ANxLcyK2Pk3lY3/9EnMkwpZ4blzhoBljdisrMH15qdox8k1YdhHckOKiucku1otf54UM1i3+S4
2jhblKhF9ckqovQxdFTbgKTXScPh2CZEkqxZd2tV/yxh2UebIajma7GG1cLU+FmxgwhhPaZjjyFJ
jnQBIamVzjuRIeFHBaoQmM1zu1abJmrmz25pO390faIGWKBu17SHMqh9e76mRxHNGROXVsPsHkhK
0yreptMSROl+tjnu75IeDDh4SMOq0V+0kMN4rCF8ZOrD2ri9hedXlFdzs/NG2s13XT6n0Q8vLcDK
tzIs7cl/qEi923AfNb5VHKxh0PnPBYmKU1yAznXdyS/sf/OAUx7wox6U7pYvv9LsX6bpz0e6OSb/
+yzgQWX618//c6e/61/9q/zB/L+XRCAI0FwCJQCgUM5QUHGm/0t0+WI8KGhxP8sx/yG6pJPLm4qB
3lwShJcswInwYcfHjtYTST4t0PDfyQqEeJUUnBSXCAUczKCotKD6v651Ue13CAML/xf8eYN1uY1n
UKgT38b3h6b4zpb0+4Nql37xdqTfSIu3Vp3YKF86w4+r3bkIP8DvpkorYku1xymuyv669KvGWjZ1
MfvNk1/AbEQkEQRlLrYpJbjzK5zrZeDInsPyexT5tHLpNsBRSYPMtI1pp/XcitdgBXAjHVtPCqaQ
3xXNpp78qrpywqXlltOqAnB1KwE93urHmv/zjym9PRVQ/5SlnoElQAOkMORwyMWYvt8Q9NCpsoGu
evQL1As21lFXXkl898a+C49rnyLZgDvVlNlfpZ1kbvJeQf46cSNvxHgwpLFGZ4CZ4mZez9Gai6gP
7CD7mTuFoXLoWhh5XBwji81hWU4pVMhO6hRY0vKstVG30KAMNkt8DibxQQdS9QXqb3j+zidcylt+
9/YYvS6QjZ5PCBD/GJIbVIPf9HyzzCxXdsL6GVjdaLu7dA3TkIAYeVrYz9Kh4FvhgxW+AwOczY25
Ln5dIbUSVTmdk7OxaQZ8impLRD+hk5fYLCEcKPs/pZe4KsULLxuyG5XAeIK7LmvS3c3bj00K/482
nHlsejX0JsCQEFCyh15PTYp7oWXPUvy0wjJsxdafwFG/s5EsfVmvWVh+yiz6tNeiaJfhDh4IxiMb
3oZWMij/7p2AjAe8/5S3NcP7Oe/agLjB7Fvs7qcXTGy5w+IEq1Mc/G4aem+fRYkXfOsGhqDd9NQe
wbcauwKMzcastpvpnVk5x01NlwStuI/I0pAzzju0+BTY+QLu9COJV+V3F3XbUP3uraTq4+ViIZ1k
ibz9/M5ZJMOaDySFXcJGpWEkzlvQabwixG609cS75sLKOkLyMBuimmvZ19thyr3V22YV526zmelY
MhB+ZsvhrmoCeJFkwJ1C8CGrDpEJPFv3SzVmqn96+zZNPP1Xi8YLAatxpLR5czMgArvlrAgbpiSC
6bnOT3OnOxaBDVOb+bGpPnyLmkaM1l1Dm8ZsGj3V5kvWpMM78/PbYEHVMt1NgG3aWh6h7fW6jVq3
10sf1E+q9A01Nyd6AekhmYEP+VEkPnG/T4eu+P7CluiaqjNyBys3GGkribYm8j+jiAorlBEHrqKp
3/W4PN9ghnsFbGrMqZnh4JxSNItJkTjjqNIjrYFmhZKpKYfbdtVZo7ZTuxi6C8jHs2JraSsQUSq/
xbqDlphcArOVebqt1tVePqKMUDAEFN6wUDAGH2XBl6CK07XaugIqHrALBgGO+mCvsSGsFllimKNv
z/9Zp5dIBZ8B2XGAysMPfBbr65FnZap2VGPzLfRrP/e3jQ2xqQUqHYxWH67Us0hxOUXPcvD4HYxB
wknjYPQh8YDSImgPw4Q27r095J1HcfBwetCwfEwbmr17tiwKKItVgofWt6ZjF7V70ReRd+06UkCR
7QeD9p+I5ZWclyXcDNjMtRIjMncKvqTtmlh413oAwJ01wHzDyM8kCPOJgl8MvpmeuhdGMXNSCjRd
jnxpLYPCEFpKfEPcbcboM0G1ig1STvoP8zfCxJS5E1h98aVfbUPmpCgW/SHAYon/VeBCRILRPl8+
jlKjiozq2RBlapIH7jyzlMkNdONX6Ov7gNrgEGNXNd5RxK76quuKpNuUMPld6roUgMV4t03pVxWp
xHsc7dHw/DCsIs8YYdSTory9Ns6jJqNPQx1iI6L4wP+N2CWSRaVO3JTfVqfCU2EzA0JgOzXV+Lxc
ioHq1tu/fcXzaATEgWkH5rFkpZzd51SyvrNRnVZi+irWwSzGCbCX8Of2ELfbQzC2fvANbd3KIpzc
QffpNX1nsLd3kgeTzr6KipgOADVwViDUhDh4LgRHcDm0VhxUjxUNdI32rMYT4lfdSiMik7jUOPsu
CevsFo6EoR400q9TNJnaHWtK5nAqx4120/ZjmUTB3YyGPVqoXB1YgDqy7GxL+2eGsDJDgMR8wktA
7jyULWazQ2kYv9SjJLu4TEy7mp2P+ELcQDcMm2Ujig6W9MXbA++cxTX8UmjTu+apeVrahGcwYhFQ
yU04/jyMtBFIYv0O5c1HF1NW1q1HkuUdpTPNLNu5iA0tJtXPmS3sSrOkxZBPbnKXzHTsUYC02Qov
K2tccKN93q49IoW2HI1R6uovuArukoluvNg4C715XMkcwzt++5Hc1xiWYSzh60xpQm8R/uFv/W2a
9xWKbeU+RFoK9pZuUnMD2hJGsXrax65tGwFFghaQLU6sNCGFypmDxpIOabwz++ZHcGkxwSjjHHlr
hosQPzoJP1+EeVKYR1zSKugPhRV24tCA/Yh+u3Be8LjvPNpZlmmoQo7AKICtQiP3NywKuNMJy6Fe
HujymUiln0XnK4qw+oe2o8IFA8PYbX0M4b8S3CqrNmIT2A5GP7hWgQO7KhbWMNH/6w1heQpzweoT
I/qOv1RG62i8QFxqeG39QNg8ZrT9CWtQlEwUzHRi8x01lsNQVKmHugQbRkOv8ktEjEjfY9eof0/j
Y0JhceoAYHH0X5vznO3RZwqTy/kFc8yJ7d9SXWdavWAJWuseV4Ca6HBKb/Fzg3e4pbKUqXovLJwd
R+aStNOwB+ZY4t1I58RTI3rygmYO7/vBYYXoRWsWFGc/4+PljVf7+2SyoFJvsNs0qvVyhHjwvSLo
MUpwMkt9GwZ9lOSHRHu4WGg25Pil49UYnACVxcbXs+Kgepm2tMVictpgZWC4oOwiMx0pWChDb+WZ
w5d4yePxi13jepNd+AWWnI+I8Uyd+vaSg2X6Oiby8OYQIEg4Drzt3yoq0sHeSu15uZdyCcpkQ4dY
wP2c7CT/FLir1y37VnZBE21Aq/8lBrXLQczwjn7Tgba4FKQ/7Ky0j1MyeMHuvxODeiPuGOvufQGo
3TnxTqkOLSH91uEdAehs+bmXH15JP+3ZGabh4g3NZydZis3l/Kz2bPsmDw7/VHpOAX5pj4OH6zj8
I32u8cSuaSreVHem6AWkvT8pOhdgxsJ6+F3KyYkRDj/97h8izgYfGdl//h/pNgdgDXtblFPv5Md/
Q7E585qCzrteRT2ypFen6xv5GcmCxqVGKa9pwsshTjIgcuXPRZvuc0QvwM7Yx6VZdki8ahr8L4ly
RXsZ5J5MowNrJRAousfVNi5WfYSnxSa1vAC6n0y6NV8uJ4RKMruYsorTZlvEk0eAhdA0YNJiDYHf
X6IOnqxkOyGKpL8wNGRd8UYvIpqDGxj3IV/06YdWlgE0bzC68rjcWvde+7QObeyOH/IAZbd7dGbL
CsPtkvvFEF7MKncq5LM4K3Iu0ujPeJxU+Bwq3+dkCex4m/sy9tMbRJpTE94CeuRTeQgLYbnNJehM
HI03QS4wH9i0GG0TuMJO+7J4xOonsdaPnoeaKd1byJqc6pqo3Ur/IzYqXVheOVmbOeVtnk95lOyn
nECAWUTmCO6dkGVuiX5xabt7O5VL1u5sY7IRgU3A01R/uqmruF6Vl3H8MKRRi00kpTcj60ZI94Jx
6wTSfAj3T8qyaVucKF1MgnueftvQMxfBAWqqGTFR6oIvdS+1daeq0IR8D3YMaE886ZoFsCryjQsd
dxV/15weVWp/Zfja3KDTnCW9sQsqpUORiZmkmR4H4YTr/4Em34yz8lCWwvMcrI6psICRpPerbSlo
2kOXZWRa2ylyMPbYZpH0kawhVR7a4VHnasjwYMssudYXclg9Z76O8tDccsZMNyv4UDZxBcGv2ick
lWaBQac0M+8vFj8r48oMzTgiQQCC12hBuQesXbns9uV5uk6I9omGG4yKrT83dXBX+F4Si603xTSA
Ng1IA2PxsnqStQfPQQlsmYdL0DnzpR1YNXAATjlu7K/Gvg2RMYYBAu9K6+5lqK3Tn/89yKe/o1Pg
Ivpym4obwClCjk9FFjRZd5EpsfDQrbvOXCR1BSzTOwrwtI43/mmi6nXULDUq76FLL+GKLYm/cQo5
LsFNXA01o4QvVcmfuA09tm5LmyMZ4w2OxSbpBR51+SHMLbt9ik8jCK/YGJG8PJN0M2q0bYOOd3KO
6N4Nx9c+Te1peQRJUTI+gYdCBmerEHZit52DRbJO0xOtV2JSzQ8XfGpD+bBamTdoWIpSmOE9LaR1
WAbukoc0n+JkXc914D8LVlevpbn104Ba67TyTY3nrxfuoYGrIr9cebvb3Fykz1Sb/ZQZrepVnGPH
d4exHfObjaHbPjlBqlg+vU/GysN3mPIHNz29bPOB7mi+gK5GfCkVvvbTBtKJGSY1BKmcHngRBU6B
B5VGfC66BScVx6JfQkcj9nxeK1nexzq8eBlyrJk7HmbO8NOYkLPPNRfPmwwR38XotGtgP5C58V6G
Hd45yEm2yC8SLo5nbk3JpEssNC5LGga0bJgmOVyGdWq284DZAj8rECPm0QFZpTsvH0SMo3V91F5t
Y81bxl5ZYR7So2W8hDoCIRwIru35QtLol5+qduBfrDvo2/n25NAqaunll5/GQic0BaYu5+qOTOvx
MVDJTBWQLKtZ+1NMKM8Ps2hx1NlEnUTK+bdB0GypJO4v/RiLgfmrDZGGeJOWdY3W8aWdnOsSD/MD
rCvq3R+YW+E1eGxyyXBciOc909bYWjDtyVQk6yNWG/WkH1oxySk46tOjz3HaM0SiwUuVJyqQrfjY
+dkOUU53nhk+3I3NqqFfZZb4qX8aIcZhBJwBuz5rozO43fjyssD5e0BEn+/+g71zWW4b2bbtv9w+
KhJvoHEbFwBJUaKotyypg7BsF95AIvHG158Byzt22XVPOXZ/d8pRtmWSIJC5cq05x0Tq6Dhv2O+L
2mfgnC1OdW1Kpl915Cz6doYdbazlDz+aLBBpSgUnoG5VbByTuMUDFGAC3VpvMcdyuoatbRW0KGO9
4OhbgaJv6rAvaUzYV1XhbM9TjzeUJnxSeD1LpenEIPHP3cJKk+85620XD0vy1ioASFLQi89LbFP2
FbxaPuXrRHkWa5dT3CmVnX0z35qUzcB2d+0WOFn6Oxya1RLvAExrS7rHSmmXXUTrAr1XgKnYc96s
xNQ5kv+LP6VZK5/Kqatt26jseLvdlKF0br6PK5n3DZ1oMxN4ki6n1a5i965Yh0l7UBTTdBVW2frO
G+st95c2yZUrkCM/3W4jKLws/hwvty5VmVGvUln7VTPJN8df0lZ/t+bSKc+O08ol3ltG0/XanxMT
0znesaOZJXitkv63Fnql7qpnOpJT0T+KpM03RLS9mOl8P7nUNu1Xf8zG1njtgHQpcVDFMDI3ZcTe
Fc/AXKBh/4uz0+t6g74WpbY/6AN3eYUMJRz5Tc0dA3diMjVHPz7Jx3e5+RK4PHgJNnIB8G6WhbIc
t/XPh1LDL1T/28OL7HD7GyhYuGZxbmy/h/ZZ428sybL9xdikO1Ex3q632QbmAsmjnMxmH5/XftHl
LudB3Z5Kv9r+5MctCx6El8QCtP3RRwt+W0418M7zokw30A0lvNuB0ffUBJOoadhbCzw047gpXfmh
RFu3dmDHnIhfLMqy/tiugvvbEswfzvQtt3cOIJIf/fFCtvLZ0lpuFe3h48RWZ/nqAnCv5WDdFR8L
VvHRaGxhz3E3aGW7NSE79OmWFTGmbxvgUK0zaA9DZqNADfqJKd54mRnJVsal1sxruGO5vS1k/rwh
6KvsI1jwh+0hl8Y2Zozqad7uSTcmgyEL7LSrK5BSpEhw935cEPrA26JXeAhzWd47XcuvUsMsXe83
ja9fDvT0clgfuIOxNqLK+1tbOe2ZIdCvNh7SpoGSFLgJ/IQHNTUss61mbU8QgInNu4mEZHvvvznd
/Xy2214exJdjb96V/59Qc5gbbepcWlUfS2O+mVtpcTBQKX/jKvul0cTThE9U8Fq0rPivsx3r/+o8
8mDhxpSS/7pHBASyJmxlbFk3KNC2u9t30u1LRevEN9wAaOAr+7E4/vPH/rmFgEWH+wfi4yZuAxfM
SPPn9xKPJn4QHr0HEO8sY5kN0LTdd53nmru1oXT+3XX++wtCuKVxgCHZoLno/9Jsh7eO5qsi4AAF
ERtFUrDjE68CH4G25vcn+58/4C/a6e0T0rtF2acjv0Pk92sjcy5zK6n70rn/sWJMKbarDeBqLra9
n63OG/e5jFd1N0zmkkfVQF7Im2UqlgatW1G3/6Yrp/98p/OOOEoh+GA0ijOfFt0vjcYFMN/kLmZ7
X348VGCwtmd8HoqYdT3zxoyvILWGhSfTN9kcKC20dHsjuTTRAoUj5pF4b0PmsEUws7QsIUt9y1/n
+Yj1c7aYnCfD6WOeJT+W2X++rL9+jXxxlsDjxcSEpFKciz/fN+y7bQ9cfDynXbGtTOv3Qkh2dj3c
LZo3WP9RjhkqSV7PxsdNxhMSTfLMfn49d6YaMYDHnH9se3OStnkgGlbWJsBlnPxHrTXInjA1SIzj
wcCJaf1Nt21OMZ3oMcvZbrZtiSJ5+zbcAuLrru7abcP45wu6zXH+PYWkP4vRgBt1E6UwKeb/f/6A
07LOmVrt4gIWnyrs0K0IDnhzFA/M7x7Bv78UXx0mCud7gCKm059fqgJkuYAUTS4+SpHRhmrFfWS0
Fb/886f6IcX4ywejV8hLAb2AtMQS8jcCgRDMZeBNdwe1YkrsdoY9b2qEgfCxofmzW2tm6GHTJfRW
yWCA3a87SOGTXq+u2K2R4CRhU8h+Nk+GRe9B3EKmS5LmYqE2sJtzPGeFjgEmNhg5vXYtiq1kp3LD
qttdVQ6r0SMGFQCRNgU3rTZ4OHpjOrf+xzyvcDiMmDdxTcbAfF0k6egjmRlGJ0P/J8h2Mi84aLhZ
FZVaLvkqfhQorsaPpQF5htutQIXusVk435exj6NGMQmW7gkuBUs3R8OtDJhGLMvaRWN4nBNqY+Av
UGI5g3s2u3Ir5rSPFVAyHOVpF9LTV1IOur7SEfnCAK5RZEoXnCKq+Y+WR8u2CY7wo5D5fqsyWZu4
vmvrbZu42450lkC2FQ7CXq/hJauCU8V4KZhWZMRnzVXHeYp+fpmXTyZlr2+enaX3LZJnHKFtzYBu
VPRZl49zmI/k3ySygDQJ2q50YFymDEEOQYcULm1okklUQUvgpG3c+q0v3WmXtDzc7aO9+OPaPDJv
2CZa1IDCcM7g06FHPmaSbnMSIUJCTrBPVavreVjpFJ1/Lhw9O+/SdubJeNPteem9M22zWN6BmMkL
Y5fXnSY4CbNwzH1Iiiiz9F0NsQjZ/jQbq1pgENKZGENKM4SAAMiWeDoVfgd/M2AcPWWcpn1PMRfN
UtEdLMw907sjqmJJoxgK7yZtdOtKvdR0XrQBJ7Szjdx+rEUt8/DEOXkV6zZ2zbR0jIEq+nudReN7
qxMJ6dk2nY9bo/xeDdZuWXBkA+ycDTIY8eRVOitZ0ri8DQPKQDDBKfAfWcQb70HW8AD3VWYndpAm
yfRgL5kN1jCb4gPEAvMiE+Z6rNQ8XtDJaO5d5Rjh7Nvp2cU2IoAGjuox5qa+sBIbcBxPX/qeK1m+
JCKDVDYIAZ4pVdaewy4tJaMGFSnFW1PwOEKNcU7OlMnItdKUb5dAzT0xWdYub7LhZs3LXuzYu/ud
twiz5I51qi+pHB4M3ZJXytKSq2rs+p3dwSBE+5JcEL3kR6k/eXeuTFvm+jL7mnVtHJUpLMnFquvI
jv320ltJRlrimikwgmuofcWWskXuCtw2/smjx3nsXc3NcED3gDsMq+6hgFdEKpef2/s0F82DtOjN
B1Ad2w4rS5M8TfPqfS41IMO+OVSPk2dkO2H04hLwQJoFjaYBrKJNt1d9V3/rcje+o3mYoVfqTf+r
zqiH84wu9fvRyNNsL5da2+ld1d93o0XDgaUg6pYZeFanliKwq4lIL9ePU+8lQ3S/HFEgDF86w8r1
XQMji2NOVqVLMJq2983rbbeKtFhTlxXgKDuy9D6/m0eE8GDrmiu76/U2jL20+SzyTp5m1xJXnaNv
d2iMe4czyDhdzmqYr7GqjEeohRqSZTM1Io/VD3vshKNnJXIMPBy6wtdJttO3FiRWaGT6+pnkosZA
USCRD65rx52blrIMUEwpuHzrVMyXcMfaJBCkw50X3WUh5kgVjhAHzEsMbKW8VHOr9oYcjCu7rOaA
Tu+zPS1foHjGZwzJQzB2Qx/RWhRZkMzV6JJF1pg7y+3rs0wt9brImZpMMN5OumAo0EAUW9KcLQPM
Wii/h7YJTKOsDw2NAuD8VX8363VxR4BeX4RF3ydPLXLmFzXLChcCbOcw1pXMoXQLQuAYvscFD96c
Enc3exPm2C4FMLuO+ee8kuQxkkD1XDco1aUc9Tsf+OMRNbEXDkrEl1ZWW587z5lPOf3+MZA0XHnR
uMceqLWcSIfk5BB2QViUXviflUZRE0EOo16x867FD+wUexZ6B3JWtroXvd6kt+h00HZMqXoyoIMe
gAvoh1yOzmfILk8T5+SntSUo7tBKzEl5WyXfFi7IIQV2MuwoA5eHXvl2TPJEy8S2wMoh4M4d0aTL
Q0sdqgeJ2/lPft377+Yszcdcxc37uI7rt4EbPCLP0Li2EBYcBDtF1M5t/0B9qQX2VI8nTXXF2yrI
TDNLnZSmmnbyOV2ExV42syKJPPPoB9mFc+EymAllV+eHwh7UE9ouk/c/Gpe6qM197pjdK3259tav
U3WhL6X/UFVqvUq6vN3N8Pe2Y3CVnWtL9JdqsKbbuovVowJw9cUsUG0HRruMZ2upeHjoad3oZj9c
zcqdjtk0m+TpDF59iDcuIcdjFJa0PfzjCk36FLO83a2Glz55tE5e29XrH9nwE2jDysURofVomIjz
Id3MPjHhJmSwrwjK83Djmtzvqt6vidbggvHSWzBvsg1Rhoi9wjv2KvvBSjhcr+tJ+dZwhVCpoDtQ
NY9E7PkVa3Y17/A+exc6M79wxI9w442JSWdeaV+12ECDdlpsa838cKlmat3IHWhpeyf8AKPb70Sj
Cty+pS/j06TJ5JYuS3mGHVY/l736zM+QMQlP6rmrqGDywc3Ps58jv7Slnl36jTTeBi0ephDklbhG
6jM8ZcY4tofUKAlM8CHcXllxo7y9L6rav6xST0bMcbETjMy7I89fCQLL194nKs2MITBrzPuvFrzy
XGtHTL06tdAIyj15jfp0rLG+3Zizpd25tZ/JEDI+ANjUl+o+T7KRHEQQielVlRVNFmmgIhAhxrGu
HVyk/us94WNqSA9b6SEivyVYucEKJJsJoGTBmVxBOHepXEK7GuLxmm5J3oXmoCePE4lXSwjs0jkh
14v1aIIwWFz1HMT7Z+DqqwddmMDV3obKIZIaWdEGYnQvbWMWdf64mktsjMEyt4QtXBosduLoWUwE
Di2waxWlY2cPD74GrBEFTlL6uB61OMHxrVn+/JDhNSdaNLXKu2bRNbwwDqfKULitIU74duc6NBR9
/Gu3ZDkFW94CJKKzdZmTdxGShVdckmM4d/kNPE/HX00ufy3mKqJPUxWbSgsvSXXT91bu9bDTc6c0
aLB3Dc+Dt25Rc/piVDtLJ2DvRMJLTopmTZt3c4i34ACrhcGPO8DWrLFSN7uEQeF1kdEmjXLixC7M
xNK9CORU6tISy5V+LBIlGUcOtrsExsT02+mN/qwRk+uGVR5b5BlahUkrjp7dMxxX9XX0KU1MJRfj
0DQxvBOC7YzBCCnhUq0Jmc0jRYNWkjr3i2aRghe2g7dkoFUZbPAXyDPL5uwLfQs993Zm3L3YSavP
/q6osI6lO2nMjW1f69roDE8weKv4Im8963Myjm/rmiZPSSrfEh9+PWjEqXqYkHaARY6xlrJ3CNYI
B8qG565X5WKUZ2Vmwx76ox/KVq6bO8UUZFZWdvWg6tKJlHIw5Hhw7QI19tWXPonXPeEfDK6SOb5m
wOiRUDF3Uxut7DXWrd+lJp4z8imIEqDVw+3A/RIgh5u+6o0s7mRbd96ug1py6pq6eRhaolx35BKO
m4cbgnygVbN/BMraRkbdlvuijW0OoULf+X3agEm3tWujmK0rQzKzbJKO2bXPqSgiSm78XA/ucFhn
wygD4bIHR8In5Q1fn9OckQ9OKBfVFAd+N4k5BGBOnp7TjTLwAXMgIUUPORw7EKrzbqHH/bCSGPw1
xkrYHnLGa5HimZwIuSjUmU2evT9zipKkJsoL3kJ8z6aT7QkBcvBjyfQ5zxL9jcYbfqxC9w+N8Ku9
K938VsuFCsfKSV/IaXwqc4RgCee2vWvE+WszGX0T2GbTvJpEFl8OhhnPoFTm3AszeqOXsTT40Img
wZ3NY8hZ17zJOZVcjpOefSlS030r4oSACt2cTlCBIVHLtjmadIyf6b0bxbakzUBJctFeO1DdKVtZ
G7d70PpiFdtZeKmrbdMmvPW9GYlZ3ZVOxhyUXnLjHGtSiJqwU9kM9LhcG3qF7pTrBFexjGyIydy+
JoHYeE/TFO+dUfIegpxIHS8s+HdJAnG4J9JF2keQR4YLZx9AsKLUKpJL4jr7T5JDWxoW0jTFG/vu
pLDM4TC80PrCAU2TaxcE5BhPm2xgr68jkch4w+WNbc/5+zB6kt2Bg+e+GWLEUE1smycmd+pKLgDG
A5VQ0ZzmbpDvhdHPWdjRZRyDbCznL32/8KzwTHJMGyRNzK9w9PhDBnIj2ZOjeUmPOkExBU2dWt61
x294XMd4X7lpf2UtHN8CjWqkj8q41eyd1lZIfsED2M99V5avrhxngu7MLiJXtxXnYcKjucHFfERB
lHAwxKe0PEzUVJcsfvW0m9s0zankfCpPtXZaczbTSQeqG29CvKUSttwpwgaTAEEKN1FopVWaWwXQ
19FhklIVYV5Qo4F/5RRLJuDSknYc2mYdry91N9TFDf7zqYs4VMQFK5rvNKsMlT4k5XLQBNwe68YZ
zNgLCr3NzM8lqlGNvF+NjOp4z7ysmMV1kTZO44cctmdLAgNKq45kPvZbe4lSxlcbJRkxt7WQCIuj
sYCDFBumAIg6+zoZpyPNITOYUXljzVWDbLOXJCmsJomAIiumKJhxzFoF49w28BYSSrX6OKSDVv3Z
td082juYqFlV7+yWUdtDLAh7HA8SnVRfR2qxNJHf5oMs+B4sDbXUkCNkZgQwonLn43+rNIzKXMcu
r5fIl+kM2YohU/rw0avV5DZv6Et/64waejzLKx/2BAdh5ALbGITncAV/YsVidg7Iqleet1bv/Ox1
kFO6kYhgFq4aB9s4nxx2CJbj/nlI6Sd4p556cj6L3BeLFQ5JN7QFHEH4CCPDCjtv8ncTPtRYRXbZ
D0t9ZQ58vDXAPGYYXYjmBU/mg9nbMoOcjk41My/FMLRLgwyJcEf+TdNK2r2UXs56rPVNVICYvzbQ
clG5S58Vkyw5aijPOmQ9/sNF0oQdaaRmIYqqoZysXVLPVlbu5ITgxqd1UDfeaaXy83axVjow18Hi
+pJkHKv1rR1Zl6Z1YOxXPRO0Vj5piGv6wGh8bI7WwLOzQ2xSfRV1QZGF+D1Vxa5xOj+NRoVMZQ5W
o2X2uDoD8TaI7C/9LBlv6ZWOF7SBsxMxwfi2DWe4zvVlqXbSrODzjz5zYAxjD7k/T+6xpYJzAxM3
phXM9VTUB9ULRIyzJ8GEoKAuvspVgFaI1RbT57CPDlFvrst9l2nTTH1AgCoFKAfEOJe2fQBc3VeE
QHnzu7bG8yJJTZ9a/d7Dmm5HU1bXX5Rgfh10OaHgol4Jmwm2kPV0RzWhuguycIvxa6LNW8OFgtqo
w7Ug+Aeb1hhr+2rQPbQ5RuvXYSysptlZi+gudJARr/AvLJ1QqNhImpB+YmZzQHWX7lx5jhgiQ9hD
/4LyARhaoCRhCyGSjhay2KAbyIrobZ0TDt5VYLWU4dcz87Y5wGTu7tzCKS+1pGtQsg8QdyTZCrJC
uWEsA/DJ2vaZSOHsPmBb4ItxwX0F5uy1F60s2zwc6Je9r+gVuDdi/w5bf8PnXOXe0eV8u/BlR5Yf
e1hYkVZ809Au0TvMZXLSWIa7N86WU3rn5pXaii7TyC6oYJxLBdc0e2eJBPtjAt24byYzvkYlmZBt
rHPlvWmdUavFQOGLlWyLQGZieiLFYLidSKjlI+BiYzjsVg2rqVvhVShs/16ne+hGft5MR52eRRZN
SGM+TaaFjdAuOuuitvI8bCdlP7RkTu97oxYvjup0goCRIaaqXBHodyuRpZ69nHW8YFlkDEQNc0Cp
0cf72eiTE+4oxGldvaIGTWLyjLzJLzdlBIfhEND+Ah1uQzEEwsRXCAh689hT+cQ0YXrpkiVhJh2+
8KReumtzkMMpMfTRi4SdSEKK0Hc8TrPbIzruaz4lYgD3zVKpRww89fdNq20FbwfYkcgcbSFi3Cli
HzVK0WZpxIaeI7yiW3K7VjQAgtWR0tkVI/q6yBRVtlvhKtGgsFHToRqpZDSa8s+pS+udEXdEn/f2
8uqyWoxXc18rGZGY7t13tuoHXs62W84DGU2gymiuzTI2rjySIV1UQjBHAqXH/hUgRQP+UlZczhr4
AqR6OVntnvEZU8xQM2aAfb6lpucqdCE5LdEwYfIOSuWRAz2kmVey/iqzvMp1Y7Ehq0z2s0bg13ym
cVUAKrcaXNRkK+uvmY/gIajQYZyJL+jEBlBdOBP4BqaGNhZ2tatIi36E3KSmkH2Tqo7yPEpN1Xrb
dXNuJnOiC20aTXz2ysp8aRFZJAGAtFezq5oX1RMonmY1rceex8aD7s0tX6rXBERiQm01Q1On8rhW
A+6ejrbLW50M2lHlPNSRygr3ph/65rK3W6weygU+o2iOaLHwnmkYZy63QeK8S2M1d7MluvtRLcaR
9LHeCHPo9lu1JiqUMzUdHpcB5kVnkiQWkaNC4VRl/nwARziW95hlSeWltxUpbnUrbE2b5GrT16/q
pUmRBk76Sxov8wtxa3ogu0HgnLSLXeWV8Z+oikUEXqR/8ij3D+Aj9fcGAfqL4Eew+M9cOBT/L1hu
vOuZGf9Bjj1PnTd8Rp/c38oBVkTg9Y3QeQ7WWz/RCioa3aoO7AdwNwevMyOIA1c00bTT1BrqU06v
I/JmDiptA3AimFO9eSa5xnrIU0LoQ4um/lHKWmcShtCyMM0vy0DzX+0KSTtIvbNBFdUYMQKPF/eF
A21TyXtldY1l3/R52rLKd1DEkSapFvszGoF5yauWUQPzxubGWlDSEJdmYNUwIrMRc58eBcTtfD2i
4176pzibJ/uLXZOHcJE3XtVbYWwp0WuRN9oWRB8ebMQsjLSQR4CmyBwRobvTV8pGjyBsAGeOEvNx
WGaamIFjzPbesurJe3PqumdRaWVRziXr2Ea7jKjzkClATXSSBD2LhcQKNTJlPKKqBSs0Dw0qdouc
6TGVzTfRaovbRcwz0entOjktBWi+lVhUxEIyiTcNOffglo+a5Mkq2rvR9HqOMJk5O0o9b9T2kfSw
1Ya1sscxlM35OQe1BmCRQCdouTshzaFr34diHfUl4F+R2RJOjUVJFqwyZWUgeY5DsR/SsN4+ieUk
wi8PaTKPbvtpABIBICKLvYI/QwrvOvOV1necl6/yBZioE5L86Lnj/jfTuZ/9IQhM8U9DFaPGZChN
5ukvU9xacObIZ+l/ETkmkh9DbwA0NtMnZVYJYs/JG+sqFJWlDDdwSaJEqELmD7twb9az+5R/n3P9
8/v6ebjM2wI17OBW9Rm/utjefpmFZvaCMynJ3K9FI7c5S/Wh+6gKv+RG1BqmZb+ZU/48kt9e0QHT
Bb4U6zAT319BPPQMvV5gl/hWfbwiXMhNf2HatWIy37mpBaWkH8Ws4fjIcmaVH1/Ff2EOv4E66ULg
svjfaQ6EZ79/rhje/zU9e/uRHyAHz/qDmF78Pw4qBJ1nmFv4A+Sged4fFqoPcPSE0en8l9voB8nB
tEE6uaAXPQj8DrM67gcmyX36f/+PKf4w8PX7DGEcmhKs+/8JzOHXUTv/yiY/0fHQbQPwX+/kXJeG
1ZmWduHDYAWYlC/rxeBb3eNfrsntxzT9rziEnx+Y7zQrD+wmp1JuXkzvvzwwq86kiV6+doFeRSfp
p6KEGYR3U02YcH/zqGxrwl/m+ZuZGzMqHn8cuGgH7M0k8xf1Et8FIt3RjC8WvfFvhKPGa1YWZj8r
mFHpVL8lMZIt+beXdDfMgi2weREvILZl7C8vORed3aJTjC8yIs3osrdNf2IeldDtp8NuU2xM/jPx
wqaxFwNlJEdEjPcHhx5SfYCBOoT2OFpTMMw1G3JODg6piuB6F1+J9xrdBZ3rzj9Q6/qHaVXZAbyh
QeDgXF9S5FR3ZUG8Samp/knvnfoShypheTFTinjps7OV5MBEzaROiSSlBMmSDh9Q31V3BjJQIsEw
JKWFpZ5dmVyLYcl2k1vW4cDs4GI1zOLaAp7rhWluDndGN1R/ruba3BDKkj8ZIsuhe8XlHoBVTXFY
jeHQ1NOFaGKMtStZQ94oEMDgxNvpKd2ssje7K1fvmzNHGJSxlAOfRZloF6WztSeVNl205DqDzZr9
2GE7MpovUJyqk7NumYLNmg6BaCdqaOVZe9EZ6jUrNH8qwOgqlxwNd5kQC7/6ZC8s3SmtJQir2uWs
NsXc56FIYRdQ0Ff1+6Bc+ZpjsviU+4Vx77PjpeEkOv9r7uEaClAXu0wtjYVYeFoU814Bj2awyKD8
vUhLzw4ZtJU3An4W4wN2+ZOLM+lqoWPxDO0VT2icKRqe29wxJ+oysGi53aDzvU/nTITxnC/3KSLa
XUc20ysOOYICZ9HvvdHRCIkna++rqqr0kNbpl0XBC0tQKF4lvsc4Xl+JM9t1XJwUQNZ1S+z9J0gH
2p2Js/4kVtSwQTfrBd3aUWhRQZafCLQG2aeT2ccY3xw7Z02I1AJFUeTJ8JXI7v690Je83K3J6tQ7
rc/8Sy5Bh6nH+dL2ZTjR4jvXpK4H4Fe+CnOeqLwt4s36mdSB5MnvqCfbWJYHTXpUMPSIKaSnGu29
JUJcRk7gyv4q15RFF6lPUIUJL/+MAI10Us19I53KjGhRLQzanPY+nkrj5KTdrT1Pk07gomtxa/P0
zNTJ4DEslBX6+G2uXBJBldZf46lc33sIMSHfrP0uGcvecLBAdbb2/X2LAwhKtXePwjjbDfb6og3K
PBsrTCtjWbuz5q7rbvKd6aGuffhMuj/ul8q6q6fqk2vGDWhvetMj5DrGBcuX2iHgNBh8e0Q5jvkW
r8PiSahzK42FqEiqAsW6MSxFuJSts568qVzmI2xvsCNhytRGBLFGYfVcdNPGfJs5oE4JF6Jpo2Eh
++HRwjuQ9GWALtobp0d3IXHJ1zs3YR5NLybUYtRlgd0KJ4CTV9eHaUQK9DJrFi4tJIsGnVtv6kSU
lfDK9x0BTzC9kqpHsl9Ma3I/Fvbm55LZmJydlnlW0KB8mW4TOr+eGUin7dIrP9ZGZsWo9e1XQzIO
RNZWxxqpMAomxnOOJtze0/m03a8unHJiPXoMR5fFAoNCPQDtp5l80P2ueNVsWTz4Y0Wwn9iAuE3l
2hcjeazPbrxom0jaiJeAiC3zEg1WQ7rkOoL5tYm3Oti9SVfXiNuTPs/2hVFpcGax+HHqBE2oP5Le
mORB126/7cZO/ECG4/TFMWo6ojWo5z0jIPPYlAhoggG8Mhqq0jrKTtSXHA78XV8Na03uWEyniSZ2
c9VaFsMqd3T1ve50RIypjL6l9Puw7oQ3Bwg7OAfGMJAZHFZh22v1w9rhtAzsWhs4jI9TdTeblvxm
UUmeeCNZsi/Qo9Pf9qs1wnJSkotCNO2Rob9/U9qZ87kE50VOCK34PRGp1R3JpOCoC+wsdYiNmz+z
tb76k2Fs+WyKfr6F6ufguwRP9pBUKfKKjjJCZ/EgfY3ntoy+7+P/rQJ/VwXC6vlLxfM3suf/AyjR
1D9Xgd9/5EcVqAv/D2Gh1qSCx7n/vSj5UQVi1f0DHJDzoQD2hWP8uwp0qQL5KQ8lLvJL1Mj/rgL1
P4B8we1xTaaMaHX/kyIQb+/PBQxnM5v35WPGF7yfv2mQq5aGxFw4E3Y8idKO5I2JeEcSXW2nEVeN
HD34Fnnr9utwKPCbgRREL8bBsqhl1T0aldWvCt2Kia+xBC8rp5xHB1qG95ARNcvWEg55TSZaKKeZ
CZoFo6Wia+0vF7k2TSSf0fswqvFIG7vqRppdNJh6eV2XS17zKGVsZz4Ix5PNcfCSomoUxzxzluvF
iuPH3GwlAjnnReua8TA1o8swZ/YjDrTylG/RllU+81TYdmE8pk7Gw5SlLFsB+dB0N6AA+DtMZO3E
Q75StDmlM9+vTCE+C2mwHhBtMF7D/WE6Y6QbeFyBniTY0kxEeajnsTzMI/iIyPab7OhUSeuefdL9
IGYugg1R0+g8OXLpD70qxgHOItbvtLKKCxmraZ+vyiWtj6TeATNlHkPEHOPxxrDj+rWfFv1+AsU1
Hpo+x17bdewUCYNrdtZkWQkfqojKttvxBVfU8hyvDemJKmnlfCTNbd665jYflInHYLxAe2ox9url
oTMcxQi+GHdOIls96HR1mnAnbwI69JCY61MJ3nCyjw7r0LOfL/MJ5LrfHciMavt92ikEjSO3egSq
YRF3rVPsDJbA6mD2ZQwU2p7RZeS9izcmzzXqW2RUATAq1URioPXBWLi6wCSSRgyVB29vTNO0m3qY
iZzqx2S/oHfjQidS2uGWpfanG2fi84r8fw8JNiOXmOJqh+Nl+VwBvoOjqir7MDSzfNBrlV7hsC9f
GgSyQSyIIgkliet4/dNERIZyb7BpKYD7UMBRfeBNpQcCnlPosz7uwMe3+2Vkupy6yr+Z7RaJUqxI
zaWVc5lCDXeDxqwKwogBe2JKGSiGcq054lMwjn2FPg6uX/zG04D6Cjey/x5Xo0453/VjcUj61niM
y2w4Tqpy98xdXcBsddw90Kr9AqZRi8aFFCioTzRieQKyY+MyOkG4RX59mDiefqoc0j6K1PZet0PF
YexSJw5sIOZ6ZI8GQhv2RzPq4vYRTaI6t4S1vJd9FUd4MJfngayXi3hlYw41Tfh5ICGb7kapdTdL
M9fn1sa+HPRNnmcB+fZxaDOUJ90zbp6cpO2DSfPrI6KZ5FNP4UnbvI/L+8KSRkhoN9qwviIXFtG0
cmOL7dsqxB0ZvEO4IJL2901tGXB2bPJ6r74Puwa7lzeqin0cPaL8VuvFcuS804TzJqEf58UP6rj/
khOlHmEXnUIbqcPF5pBmFm58nqflEx49O6yLhBQFfzRcVUR0Tfkewb60qRyc26lDAsPLYtEbgIP+
d1es+6xffrMrgpvmIP+/90bgLdXf/oe9M9uNG0m39avsF6DB4BzAwQF2kjlKSg2WZck3hDyI8zwG
n/58VFXvluVu165z3UCj0FWWzEwyGPEPa33/tz75NvRv6yN//NqfJ6MrPqxnG3pkg97xyq38n/qI
a35w8fVSgHFJ2qkdcGr9WR+xDFjY1AXZMCgqcGzxOf6sj1j6B4m53IaS/eqp+Zv1kdfK2ttyAkYi
mMI6iCHwazpgkZ9ze9tQkLmYYn2oIC0FBhy+bczwVt/u+0flZF89pq0gsVz6bUmX3Cce6zbzrLKT
J7La13vv3hu97MSc9OxqHvLL0VsFSZpzNprW3KAvKKHP816rtdVHA3nhcCz0oInAiSAUl7taaokv
nYFBedK4rcNRDziKkGpYXrYVDW3YiAB11YSOfkqk6+No0IM06x7HXN4PdlJRnq4YpminXx3IukEO
AQeVwIIuZ3TbYz22j8KLa6bbjSYCOsjImD0f6IrcwZv5OrZcnhGwj3mVvDAZhswNu4TPhMVbEXMs
GyXfB+IKCsC2eXRECsZhzZsnja9X0s30ZyQSwai5x7b1jlid+m3YcWtGGW6jvgCakmYvzGibN47D
ray8tgv0hr8UGJG5scgr+QrcBh00dNJ1QdjyU6POZxhrS9vGCH82A/ORD6lF2aPCwx0AB+ZPM+t2
8oZ+u/5mapEHJBJBwWI45SZS3II6RxBu92K5jar8Vqp83OYdl8xpp1zYVsPHn0xjOzR8ILN2sgBk
/ifsYKh83MELZFW+qLKpmHDQIh0LVRZMmWLzBbn/Lcw1wX2Q91LX+y3Y6NrvdHqWa1NiZ/WgtpkC
ZPhtKrt7hF8ZBR4HWaqWLzu63cth8rh7ZsdFJ9s9ekK7f10kSaO8QFlNF9Qu60Ao87YYPfoTukQm
LkbfyPgHapPbMeFDRWlmHU2tlTvBDOagQuN5cmVvsNevq6jnZ4kwz0kn2DCrzti6I7NUnNBZW/ss
LIKx2i9s+8x6foHsjZaZoHSTT8lXioo8++WVGQ5LGs5ZGUy9R++b0dV+UXCXOlF7geHWyxXKdum3
Xfv4+ryLiIbnmLOs8IQuuyhmyVBF59E3NFMHx8tPuoheeMlZ1Q4/68WsTs9lqVTru8ARpD7l4AQ3
TKf+ago+CG+etxnrLDmjAjwSw9yrhSc/NbwnoL7C00QKdRW7vB3S7R5ddIe+g5GRF47F5PE2vt6M
sualmDR+tM6KrxiWjW2IMPKUG7jPrZBFm2ddeFKlFHc0Q8HXE+jSJ1OjbzIeHcuzYWzbrNKDorW4
pfrIZ4ji7sLrtHkfOYa4NJsQtFgPxT5D0Qx7ykTKm5YoACpWGUkiUPkyu/IMXlS6vAizxzjfZirK
tzrvCcWm5HaM7fPr62Wmy3LQcbvTcST+HIj40A6m1YaxGh1QEJmdolgv97NuZlvkXbyGGbM2Xp8t
ozZMZjCXlw6UBLYQlkCJEMlH482ovXWVY/lddswhl/susrItrAy5IzDMAxQXtf+6ANYVzit+m1gL
0mvFNibpsW+tRS6H18fcDwjg+5ZlNKPi2o6pCJ/rxNYOdsxXZeQxg8MGoR3gcbB7ISbAGsgjENlL
lPH5JEnuVtd4mwuzl75RivCkt0N56SZocezZ3ntT+lWLEsUoq6m8DDMj22L9ZdDFomuHyOY9rQga
L5Uby53rsMhKMJSXGpoffynZvtA0PKPg9qiowVqfrT0zd3GfMKn5MhTT6FMdd3y3101Ulna3AYLZ
HieHWXpuSad/TgqdWqdtYoCO2BQjweY28eg0N5P7cDBuY8YFMVW7VPu6ZzOprXH0qZVCZRr5CNMg
eIvcujoUzBc5FC694de9yZCzsX19aREvjr4Waff83fENXGM9aG3r1lBrATnUvI3dI+nK0onF1Mw1
MRRi5qyiDcxMpPJydqz5PLjZC+kqtwbauv96rx1pZ0FW8Fci05Y7qySAt+a+CzRmqW5yy6aSClPx
xhAL4WzV5HsvbF4al/9cDOk2DYl8sYXMTFbIk51o22+ejpIOJCp2uMZ9KCqr2mZafKNNw9kleQHI
7kUnlcyUabS8y0VAJIYrh+mpAEtnjXoFcDSAvyvWAran5WylJzpgC0ubfjXSag5EnUqKrrpxb0cI
Opn1WadXCiXWKQFx5W3QYSL6Q1NpDdu127qJq6S/AenKHOGNI/LI3bWo0FJfZfiBiCvbbrtYcS1w
pzbaqQ6HZ2RX1XfaB9+sRK+GTWTO2YvXmNpCSqzRk/d5MaYDcopqh2ZvljXaahi+dYoKvEitUQsi
jqLAEF54Jadq0Xa5yST1cwb0zCVmtrriACSm1x4VLh0/phuQX4axNJmv3ubC8RuF+uNsj46hgKVQ
Z7srQUKcYtf5i5bM2nJ5F9dYDu5Rukur1/m9sTqXMBLgaAwHN1EK72P8kmQcLmbp3Q9tZbKseOus
hJX+JgS8+bUV9L49QzxFwQsonoFG26Wx+3M8JZVlKNnXw0FMr5sd76CZZN/LiTk0c529/P5q7zsz
r1db7fqGBYGOdtrPV1smuFTk+8MhVyyQNRKQWahtQXjp/ymN/dHS/IskYIXtEbP/+yzg4UdbVOVP
GcCfv/PPFADVBg00UxcG+45J++zP4hgpgMVBotPHg8Ek7DfFMYsWqaAoBOSXrhtpwD+LY2QHOHop
Z1ngpAWJwt/i3Vs/vyjGyluQK08dsODKPl3//E1zj6hqgNnoATL2UEcWccyYlIiz6c09+RevxS+v
oyPM1caNyIVKH03Sn68SDkBM8P6FB+pkpSC+JaDx5rD6UvbjfFNARzjmS5O1HGd9/fT7a6/P6+e9
gIvb9FrgxGOe/MVwHTPyajYzTwKvZR7mzm27KRhnwXVtPbtDvVU9R4BJICuVCWWFRSU/ZoBG5dZp
HZOiGborNaRwO0cm2JuN1pyGrIqvO3iAcKLzEGaPauttF0XL1dC54R31i+mP9+/fsib/5ZfAfSsp
h+o2C+ndHdRba9WXLhI/NGfnbFXLrtAK65i4k4IuRHaEoxd3vFYQrgl95epIwgOosIrPh/7qximN
+aZCarTRxyXZSxkvO3K3/DhDH6YtN4l7sP79TpUL55lW0Kz9/YP4ZbfiOYAqoJyLXYwM6t1uBSlp
GJQ7yUNi1lPQ6ku+obKo9m6V/sW++MsuvF4JcQFJtO3ZZNA/Lzd7xA9aC640UsQ8MLqHh+d4zant
zeYW/eJfQbnfvUSgObB765zaQN5ZZO9PG0N0SKK0nOtFSXvLjkKJd4jk34MwrFcB0GKBDYOWYpjW
u/snGU7FlGnNO7TGlOw97lrNfLdD1nn3v39Qr4KFn05Puv3QOtiY1n3hl00hjYQhJ9bgwcCrcFxc
cqdYsmYQZU+BKlY0n4jJX6qqz+7UaHuXNcDqAEtteBeT5F+QVTW3rcKGsXFGAktMcPRVR2Euhwj/
4anKCRkT1uanMXJL5ZuLbmkot2j/Y6HlInNN/xNlSXKgmNt9npwlOfz+SyJle78veDr9AG4nyGGG
O9mrKunN1hcaYY5IuJ0PE5UAELLocUEgdkcN+O6uyjpj45jVy5y3WmBnWENYvOkhL1LcSqLud8j7
cOBkCWPuEcAGjVPqnwUcn7NNFPDFnYris904W9x4xkchiwbTB65Gv3XC/N7QM2z2SwImjbGen5A+
GUFJnL/PIpLZMfrCdpYdnN62r6OBCc7MJKguOF3iQ1GHxtZkIAgwQvSplZ1ADCI82Hdm5d23oZ0e
Uy0tgpKRTij3ovBbzMHjF10WHS0SwOsaK0uzwSlgXRYege8YOva2HjFtOFY9+M7gVCDBBYiHrK0y
HCOlnzclJEQgUNfME1DfFYrEjcc06W2U9ebeDi1ksakTGwjJa4fkYLGoiJr6fT109JajOHthphkT
CDNdKuWDgmNMKXExCW8Zz4+uV2aBWxjtgenC+TFVDHNaKBhcOzl1WSakQTIzi2S6Hvqy+VqmOY0L
7FQa/ko/DrMfWqZ5V1qZa4EVJXArXbzbhcOndkSzzQx5hDKFXzKsww2TEqcecl6rkVCVe71OL9f7
GVQ52S6pjLbpqqnbiMJ8smMsctYc68coQ58BhUB90vKsN/hTfTkL3Jx0xNeJUTrni48pydzjLfCO
eHPN5zZ0upuU+1QeKfRLnw6UeZ9Z0AkQObdjnm0GJkc+Vw2RdhYb2oqCY+4VYvz2E3LrAebGPPFo
Zpq+cxUdJjXs4ti8NcJi2LK3jcce/+ZGaXPvrXPFvpstz7x1RH2r2vwqCe2Y2eiM3x6jfAiGMGs3
cdEPVFL0E018ZB6RZW2wKEQfyzS6CiPnC8JN/cBcEP0uFAuOh9b5jBfo2SiAAUwt2mgtdeRDb4e0
1NtWXLrzMJ1KOwPBOS50dXQz2gxpgw95RPDgSi1mi8LwKooSgxsJzoXmIfBBiVz6IGrCJ62OFR9m
DnexkVl+nGE227R6M7K4xskNOIayXRJ5DoMxpyQJYKYY+7brtAt7qapLnIo6oDBbPaeIAG6HpHPp
hSvbMzb4herrBX8G21QnmgulhHWMyzk/CDPRD27F6+JoqmK8mQRPmQ1bY2JeJxNDGlpzcYjcM8VG
MVrRYxqK4TsMLvVoju10whE8HrNR9psxqq3LVtdonvQZPQT6MMeBquO1phjHM+TYMXEtp24njmUi
3aUJROMg89ajYjNry/zJGvVyR0cRMW8W1Vsrryw/VQO+QHNI9sJpykuY1R36o6Jfh5CVlyBFszpI
nLk5yVrPyFsH5JgOKUbT6dkuTEf1MvYgu87gMfMgrAkKFgZYbNoKu11tFF6QRJwcAv0Mtv2h3uoj
NSC+cXtycZUieaDKZ8RMhlh6vfu8ALa9NnhRzyrRG7gsIWNzwKJU4w/oZVMgc0p5Kk3bbzGGjB1l
ZPchxusEa9cV95pOfJFXdXydZVQaKAhQFawQijuRTPl0rwjzQdBSnXUnu8sjq3lMU5O0XceYm2jE
hSgq1D7HQXicrCbb1ZEcHgCW5McGWf53yiv6AbwUe0/Ll2xqwi8mbIenRVp8LmXWuNSW8ORiEtxT
iXJJhJk6H6Q4/LeyHfnmWRJf47eeAnugevFat0JdHl0vbh1SRMa6I3xD5t3nCLEi+AE0FlM24PAZ
x56vpDlI8HvTXSK/z1J7azLy6VqwMVB8oS1b9wb1KxzCVOUGwAUA2Pw6dJjh7OXtaaQKsBFmrF6I
gceHBNPR1qyM5pRSqgULa1vGXuiIS8JSsy+gkGh3igvEAVYnwovQpaGLUMb+MoU2LoLQifs7piPw
/7JouGt1owla2K+POqqqLhMpzu6m2nepsUzwYXTzwp71fd+wKYh2MM+j2Vg7YCDzkVHujj/mabyr
zDDeVuVwL0KEt1Pfw6ija7qlPHXThiVWdIxD4x7nn4r33H43+9ZaXhNftl3RUPBSdr8BJz4oRihS
QWhNAw6ADAuKK9asughDmmHF5xlte7EcX4/3/2g5/iJhNUzweW8ioV/EHOcf0389QSt427P685f+
mbF6pBhMT3rtS2F3+GfGKj+4Dt0iB+7lygt827R6zVg9mkiOS/RNx+tt08oCQbWODGC1vU53/b//
56fUp3v3779T26LKIGm2TdJsQnvHeRcGi9FpRl2PqiOeYLCjWRnZ12Y71ecln/52OYdrwYrTuRdM
3H7VML8NEcdOx0XpifLompM4s5mKczqY8kFxBy6bZpHbN4/if5Mn22ioLYPJPmuu90fI+iYkbTWm
0tWezvUKfMgwL5kStUnnRZz72TKPTOtxzK05e+J+chLjL8L+n1X4a66E4pr0mHyJveeXmQ6Iy4g1
4NIel7bvvyODAV+R4/i6VGKZ7+ZwkQ+hof/VV/4lV+Oq3C3KZtRI4GWv2fubr9x3PWcJ7Y9jW5CS
Z4SV37E8rAKUpJ1vIl397QuuUmady7F6SRHfzxtKVxgVdW55iLWwunA92jgq7iUOI1NDpDk6f1F/
EL/cVzqrpuNhpoOiJw1vzR7ffEOFAHaJwhUNVc0NkR+iE+N6WeifIERivAvN0UTg6iqtlcQo7prR
Lh/KGnSXHzsZhXvYMe5drwxj1ebYA8ybOu5QCsr5URl/lfyBV32fF7m2EKQMLEEmpxnv3RhlwbCg
lGjxgKoqsu61ArHORRflzCGOqsYLQLyJ6QQ2R+Ur9MRG8o697U7DbnaAMec4J+qq5rHAW/8cQWFy
NpRgWEsMrGLiDOyjMzLFIj6NupGDlW1HcS4MGASwEOxFoFvp1iJ6m4DgUvTgdrU9izOeNK3dDq6O
whBAx53omTscJpIYb2nHyv7q4Q9UgQO4edyC+DTSi9a0qXqwSzgBVMdMHlJ91D6nORqXu6bFF3xs
w3SdsE54pyGMQisrxA9W6Zwwjzhh0PFVb8nRup1LNV2WepyvrWK0I6NEM7553QgQsfCezmNHtDL1
843MGkBFc9jUT0Nq1E9Lq5tH5pgz0n0ex/rJK8zxRkfGWPiyIf5YQ811smprP4Ogme8qyuTGBolU
/WQyc/ZOazRxb/dUcpIlsZ8Zn2UgTlFyfnKw3pGuWYIYsQvt+W6wWr5pnaG0Z6QKF4RXFz4YGO/R
AnmT/ZwP3EdvIbDCbCzuB8lDW+jBP0zNYj87GrIwxPNyC9fHNneK7oLny5km1qYjE7n7Y63GaWQy
39dMJgbtZnP3PU8rsnzL5ssaaqy7fTeN+YKHEJ/XSaJrKo6gjhuCWId5hcO2B332OR6xDHjEDSLo
s8Gdt4WyWCdj6VjPlKjqpzjCuBs1hbyUqpUPNWk3ovkyYWVAqdV8CwLQRYubj0ipruYbKktUDegr
cEt5u+uneU7hiEdVtoC8ZmwbjeuYQHKIU2SkU71+1wmD5MaLqvbwev/pD9kwbDwLG7+LP9fTmMPd
MBzt/Poz+HxR0Co9Zd9Y4oPGd72N3X4MpkjK3dDA7vXj9fVwmEtQHyB5heEF/l4dLUA3ET03syfv
TNCX9L6RF6L/6nNPT89943S1vfGIu+aPNVWENZqr5nDcweRQm5AON736PBH6cRK9O9LOBBESnzp4
Q9pe6UM6oafQVHiHC9HOaQvZBFhlzIyhSwMA8hMI8en7CCqI1mPaLcnNpDRj+ty9hm1UrsZ9ZzB7
abPoWYU6eIRBooMjZhiMzX3u7us1DJwThTORkgNTe3KfOVTzEVEhIaOXmmebTM9HEkyjU80XfVTN
9w74fj+uQwpAjIU4055zfIxc4rFbI1NSPzCTahbX2hq3TnFDNNiHo/2lhzZOMmh2E0NRZTJfjLAe
D5ZHd38DcqCCqVItZw/7yXcsg+KM48U9Ibd2zrVeyhDsg6Uuma1c8MBnFJPoL6JkT+u7/y4TzJYB
9JsoCVjc8mSFRKcBaA3QlxSOwwez7EA1CM36xKhEzWfg23MpQDmlOWX4QwN8feQHTRYd7ASWlMrI
Q2LBv2zYl+c7jjnWshGWcXJwtJBTerWzIIyrn2zRy4dCxWg03MgrELaPIzLMOQ4fVln5ubZE/aS6
1YHIQKVn5I3RQ4o+9aIgebtPYUd8TltaiLC5bcZy6eQXCcW7o1dLwC1ShiAmJq+6d/ASLwmy0o6v
QTHJLDz7ZGMZlJ+XrhZfilbTluOCo847mnh8TTL0upvJ6RkodHIM0/y6RKNNlaLMTv/EXVEAiI+R
J+/dOG7+f5BXTLRxP1JSzFygPNPRNgdtDMypEf5b9lVplNfzYMzDDrD3w3sIlqWMBjYP7ds/IVil
q1lfIYXx8zUnVvuJySdG+FV6U9JumqYOq93iVcydNqJssOj7Z9ol4+YHbl0R1uT6dvSoXK86JFbp
XbvUrIKUt2oPXhADgsJo/lTNHrFI3VPjNKdE81Gg8FgZnNJuk7yz2CwYtdOeW69TR2Wm3hnWqHyg
Z0Q9Zs3Uvut5KhH22mxvmbOwaJqBldJFuhdA2F6X0oB3icZqJc7MImQvbRyQ8RRn+HtGqFR7p4/l
ZTfxaPycAWD46+lGoKn1GC6R1Bb/Ic5KluBsUnJ28hpaamRk7Pft2B5UPLIPjnbUdfvVLncJNI2u
BbTQfJNymBQ++jScYyaXd+yJgqCrOMerlgub4WI9LwpnlP+6BbrxgEgYQPu69Cc9j2+YQIyCZagn
63IaBn3P+Ixl3LS91n0vTWQoJLgtJ7+xNPazm3M+djg7p6Cwk7wNGDCTx0EOcpGIQZHX7P/4WIIB
qfm+iVMiCTwkHF9uy27f5G17GNUw3/QjsS/eD7kVC4XkE9Ubp0Qmg52FUeNOZJi+3srqaTIayg+G
PfKpk6Lmu2Ih4ZJlmyj3zoId0XFaOMycKJgBEzUZHmcEb8x0iWbLocsDFc8H8qM+hlplPzlUUuuN
arX0cqrbGTTsv8SeWQvTidkXXfExrzTqbUOsvTAfTQKbmxCe8JmJchLNlQ/GPLEsqAZwkjeyF/f4
/TmeonYus10L12vhkyTrHcV7DkTTppWBc82zOTBbtqqP4fpEqZrwmIaCFZd3PEZmx5A1UHzQSbrt
rl7JSQhS9QehKcob3CdCy48YqbXh4+jMuVP7yRRHsXdHwRUpXpDVgM/AW0SNSnYqS7RIwPkiWo72
DNu0oW8SbuQIQ7YJuMHMD/MiCVA7UdXFubeHY0MM4lJIOuG7i8/0rUafQTiMuwULGcyWLU95utRX
PP7mrvLYWbIx1nD2yOSkgfeCUBlz9DCZ7xAZjgAGhwcqH6g85F7jBDjyKEO5EtRRF/pNYd5GHlu6
2UbDTujIGFvGRW5a5tIfK+bMMCgwF3clJFikgmwSGzghCVNmiEh6p8hemOdi0/6qwoNcqoJifjMi
cai6yWdXeCnb5kXL1bWcrenIuiYwGBr9mh6/fm3TawtGvfCdThWHebBhHlNx/zij/dilHKJB2sTQ
kwDLW3pvXeGBKm952pzLFCNPnHzF3ioyDcGk2fte4WwjmV8NGSUtk1t1rWMy+lSjHXmigmeeq7FA
QE5HiwBybva5zLFmjTdmIe6I/OBiIGp8sZ3QPpngSpIEc59MgWGV4CtC76Clyw8aEjwQC8c7g5Bt
xFDw1vWc4QpKG2tf4wTu6HWO6w4Sr+VTzit2Q3TrF0NjaEdYek191WU5i7SI2W0Sp2VFLmPIsw/n
HDebypgx7Y+E3cHvU+M1S/qpJ4UDjoTDprBAs9x4n/Yvo5FKTrz6UNuvQf8IDmFDv2O++/11fsl+
6E6uM4mFTdpvkbj9nK0Biu3RmPX1IS/X9tXgUstsulaDGjCL6sJZ0Van1+3w99dde5Lvvp+HGnj1
PdNyI1P8+bqk5LlJlbw+zGnuPPda0R6Kbs7n3cQg63ZbFaW6c5yYvbgZ1yj391dHbPzL1dEBW2hl
HD7EexSB6lKqJwDqDkxGIwGB0mjcM5S6uqCCzW7fRzX/1OuWtGSNvNETs7m/foT/VOz+omInwL++
eVi/FOz+m0GOZffcvS3Y/fE7f9brPPkBIzjz7qWkMLdaqf6nXietD6iDpINAyEUtYktW1T9M+M4H
m18xwC7gjv9JYWKaiE/E2jhfTe2v+vN39bnf1uu8tYTzZmkz+ZT/Ma3AFYKaISWun5d2kzSGVRuD
dbRzD4qvzdyClqL3fmHq6SmPGvuALZSJ49U0qe/gsd1LO7NAzfGeTndVNTCJg1PsOXdzIG/Y8c8L
01/uHQwcCN/ImIKos9xznI/dnUrH5L7obDjUbGPHInLEl6oOmfCUuukJUsGWKd/NV/yn6WHWPA6C
JJ1maFlDvXxjWB1BP80wA/tyZnxksEF2gmhTXoSume8Hk30Z2NBVZRto1vOQCC9lMxDkdzR5CuKs
QkMxYmiRe2JAFeBmuhzXVe3l+zr35CUlb/S40EWM21kbJGzwTL8SNFeuFDN4yCEqs9khCMr3ojKi
RyETeRZadiM4UK5CQ9xDv6oC4YRYqRrggljFa/PFVGRmU6Gwk4uxRHVdtD18fWHhrEUQYlr23IFZ
J+q1c73+PpG2Ee0z4rBJCLNQ5mafGit1mKubW+m+Lub0ILueQVnWBLrSVYJusDF8rrwkhBEUT7c9
scg3qSb1CJeNwxco+AHIant2zHS+ReXEKDCQVDugmcOFPjvN18Ic5gA8oLurx3wkvM74GtE8o38v
cybaTWCiM2v4rklzk7Q2egBZXxglHWvm4m0HJnTSO67Iaezwqsjq4qh52hGcUxZA08EaPrbNvqFs
9kJrCYRY2icXvWNNe+bahUeDCfY3jBFfcFFpKWJDogZtay7pcFFbKn2IVCKf3LU5h+euBmyJRboe
p+ZehlZyteiOfkWDEUof/Z/kM2NTu8uUQ/OjVVn1HtCQITdTU+kHe87dlJjQNG8X5SZXUWQtO+W6
gEoxjLt3jK0XGKZ6SgRJZ44r0V2/kS1rBd8B8vh0sfJvA5M2zqHj5AcQ5uaF09f5vqgdEH6emzwS
zopzGdX2LTik5TDHCmSfNpoXxmSvY5Wq6JpgtrtPF1NiTKBTVmjDsS7DFTda2h6ujNp4Qt/tXDWI
no/McqwPaZqDZCvAb+4miwZWXk8XRjxZLMemPWhIlIc46p/jAVYQoVgmtkYdus9UiQgn5uIYqZp0
TBX2sWpCa/dHQdUtjQfTyr7Rd6sjX4ss44k+/301mstD19HWW/RSv60oFpYQlRj/xXDXNY+lJH6O
R85mhOpO8wx8Or1xEUtz+pqm/AajJ96X4+pxWJL8k5cQfI0USOhkZsVFGvEQJ9PEpjgAjvWYIffR
NbsedCHQiE2fifu+Ko84pZxTBT+qZNSMj6e8QBudp9mtKUR+Z4f5wVFTf3LCpTxaWQFmqB4o27JZ
PiFGTo4u48J2gCybwO1gA4TlnN5htbZ+LIAhfTNLY3+JQc/D68semf0wf3LLWrulAVv5PFCXhmyc
AfmmW3+jtRzwudNcNC1ENJ9Kkt2nxT7soEQDhSINym/HMBwftXACmeiY4jbVI/NQIkHt/HzSxzOp
X/vNpJiyAXwQwJR197A05+2YI1LA5Gd6j71L3IY+dMkTKE6qYpaXosvZVdkeBQFDLpSyXb8dZ2dF
JDFsKwrVFh1PR6OxGig+Sjl+ihYFQyXPJKw1PJhscx2ZdT4Uy0UF6+1KlSGjD4X2mBpZ621Qw5mk
yBIfu9PAR2hLx8cV8RnIgH7MdSBo+BebDfXJ6mvOHLmLsIrlrQ1K8Nh19lxsoH33t0mvIQ5xS9/G
Z/vsMPVgn2IpJgJ2it6vwcSeRw8hgBcWyMnQRzlbuOnyQXJqnFE/x58BaSSXxTJ+kUvvHDgRFx+M
23hG9U9daJzSyy5FLdIrTV4W1FBv+jRsrlJ9ah60MMkh9hb1thIdtRQJCnQx4nprd435OZsKA4kO
37INvWoXz6nxY3Gj4WpCJfNsmc16uFCOeowpOXxiEi9dXaAKcmemMtqDJwU3qaLJ10QY3wiB+x3K
q42woJk/6gO3voztJVCqR1o4G96FtyKsgjlHemi66cRCw/gptVXLXuvDskdwMOxLeLjHTC71p3xg
NAWactwV4XKTjaa1rUeqkczl1heQiVppbexo3jlNNZ7FGBknKaLsC8wzXDkUajaj4LhNeMUvKNzX
Bwg/c7WhvC2fMsdJgqKc9Mc8BAvDzhQfw94IlOHYN8uQat9qVK+nmknzO2jK3bVIyvxoWxoz+Sgo
3uZq8j5FkxeSrjX6x3hMQHKOLvBjBXR7Z2JMPbcKrQ9azG/6MrD9D22/4JmaLVJQWnEBOTZ2nVUL
UuoGhEtS+plRa9VkF9pGME+D7CdL9NvVpcrZn6YRXjECEar2cMT90pT9bRM1+aGKeaWRZrtZBtqi
Bcrphl7zIoFuH8c8Noj6J+0ygekNE724GccyO/T28GS3NgXpqsPT48FF+Zr1zhN482c9HF7cfHny
qvmuxF3gM/ETF4jZ0G2Aubglwb83sL+d6th17zH1GA+4G8pva9vhcxvyixTBNZZ6onoKcnXEtxhO
ddM1Y7/HuQ0j/4pQCxgfJqZMJwU3qt7aIr6IL2f8hlAK58G7afpGOY+dE74MlFY8vMETDw6qgwE7
B1aRH1b6nqGl9bIvoLRdJXWjVU81GyixlxwZPxlmuwZjTnGiy9pCWkuNgCAvuxCRKk9Dm7hPtrKb
L7obRulNOMf5hRvbor1HUheH+3zJcozoULmhrpKB2+l3L5477ZPdhLMNLIe55OCDwM8fGxfVbanp
yPQxne1G5H5AQCYSeEQsOh5zsg/rM+iv6YD5g0HItKbO/OS8k3hhfEDrp6S1Lgc6b6QoFGo2GdD/
B9i72oFY5FO5YDGK6WiTFkvtY6wlEXM7UOJFpVBnPNPNueVpnpYeV3CcTM/rvMtTKx3UYJY27EU5
KwxMa7hlLrTgkHi3F0lyzMIdY9MY/FyF/cFbKf5Z4yX7jiarr0LrtljijgKAFh0XK+qPjN8IT21h
JKdeZ0KFQDRGL6C+BD8DSD5ymy+DiVQEeijKyGZMIGzSi8H3iIk7yavtFFo1/qcYKVcf1pD3ecyH
Qa8N2ghGsbf1UH+xhpAwus5q+O0QBUzxHYOZ433u9KF0u2+D5dJi+xQ2MI17Clt5AtXlP0nc/8Ys
bCJnJqP/9z6Bzz+6/r8ekjZKyuQnksafv/kP7YWLuJ8SgCTWsNe0jL/0T7eAZ3xwbFpksNYkQmDH
QJbxD8Ow/sGhYqG7YMgQLLzVXpjuB6wC5PQIr1EWrDbjv5HLIfL4OZezsNSw01t0jYWw+JTvyiOR
sqYcyWB87Ap3uKhA89KcMuruwqT6GuRWz+su06W4MxmkpIqIfg2LEdK4mA4MU9OYBBAOOJV62X7E
AQWlwszlQ+L14BhXSj/DAGR1Uc12sxs44jOcdbF97MLFbXdDOoSLb2vWBBLIs5mjauF4D8b/x96Z
bMeNZNn2V+oHEAs9YFOHw1v2FEmREyyqIVpDb+i+vjYYFa8k6mUoo8aZg+wluMMBs2v3nrOPQLbm
cHA5UH+eSp+T36ad45Y5mR8/GGXHWGhw2igQbvZZjOMjxIXIhRrRzQ9LP5BCA7tolw6aviXWQd2S
NmqcKBTZkaeyG8MeujRKOi1q7hzA5Rf8EVASrb7CvSvtNo3qDIoUEe+H1mqqy2WcqWk7S39a2nY4
Z5Y+f0I9ykS17ZIbU4D23wjyTnDSljmBbJLNlHDYYud6wJY2yTjL+zghHNEkKSbIcLxtPb0xzoA7
H6qc5S32++HSt2ealkUfQHCvgPdWkDO61O7vczJUb6LKsG4j29JZMVyGvbuKsOUNLkptoX8ZiQ00
S5s6fjA27twUWz5zvqVShtxeEZcCuNyjn2c9kf5THyhNLjxmL3tDJdcxA2Ti2mfdLrb4ac3Adjgq
lLiKbSSZZFLjonD7je8uYL1lfxBj2T/YHTJB6MiLEWqDSY5pNlt0aLvS4fdw1MXim4c+059TOJhb
xXcJ0Ro+RuWsn8TYPsw5THIx6+ULYS/zyUhqjwOHnyDLxkZm9M62IDn3rrNLC5wK0RAkrcvmqigT
ya0uZOJtalm5SKk79ya3tGirJd7wTO1i3jKEyEIndqeLeam/96SUs9jPixtGTRrfLAxMTxNj4jZz
rQBYzXSB0D3a4GWDNlFq0a1h9Z/hVlOg9l5+TFwIeeexx8h6S5Jp1by2cdy9UEyqtzQjzMiVtcM5
pbHuc9fOthqBjRdO1zUueEvJLRtr2V4qU38BJKOutNrU0Kbq31GJoCgfqw6/ctkchwzyRJFa+jUw
OQNsfjvDyogT9WkhAi7I6MeGboO8nYw0peRBt5WT7SK3KguywcfxJYmRx2KwhpURdhrwenDYrbFh
dmqGjtfLMC2ZXN8O1cp50xP9Au+sZwWTMUe3Q23ejI7xvHTiGbcqo1BLhK0Hovkg2KBFYKOjbaF2
8MTosek+IRn+FEf1d91UALAyryAsgKiqg1MMg3+dFMD6S4GpNWOTPsSsOXf8DfGGk1ty1TXpGfH+
eCRhSmI4oP06rXj60bzsRLfE+DanNkaaWT/LVKvVXdvPHh+p22Waim5IJF7xfHlN5I41bDvGHTul
i/1sWwwd4MU2tyaZRPKgIoNgZV/N2Tm3sCKHaVcjep8Yclx2jhWFnlUlx0RGRtjUFAqup2k4Ntlb
7VaCHu6Xc6l7eHL7LtnnPsKYiLn3Dt88uQ36PO5g36xxW0X+eXIsqF5ZM5791MOa2stNHc0GsXad
nW/yNnNuk0rmIZ58rKJEGAaIV9AGE614ynKLvBqlwJDYzK4GQ8aX4+CM3AHM0p8a5tRHp/fbywn8
7+MYbxNVnBUC4y2SEPpRaVz54aRZkszVswtl2SRDflu1nXmclmgJHf5f58LRq0ujsBrknrZGc6yp
GpNJknIs75jT2WelaptbC/j1J/w3SeC6aKgo/ojvmOuFrHBGRR4Nsjx/XjKhKKG9EeSAsap6hheG
THhXB5VMGxChRJU5jHimZbgqlnh+o3wc+F89b5c4MYlzXlqr/RR1X23SWbcuRuccOVFpbCsUzMdI
zsTWVFF7QSjJCxuLuxv7YjiUS0PLo4gqIgr6ehwxQMi0/2qW7DYhBvruwl6JLENs3McoHQ+WJvVz
qntkTpR+ti88uJ1YQw4dYryNwQYblh7gPaNEi2C2pX7UZ6TBkciTozvaU4ieTqdZM+obdmxYdLVu
XijPEOep9NIQePRd5C5z4HWxtx9r0fmQi9K1NFcVBH3fhg3O2jtyRCRy1mwAxBhywYiXN1t9sm5a
owq0ajLnwOEVvSSkL71K9YkokwItzLzkYktL0jgxHox2o2rOkyTPTIf8Tju1nYJY1mOYFUV9AWcO
CJ+yk2O7iC++6OnfOO23RsQqVPn4RUrcxboxG6FSbDdGmxwhVsQHNRbWVkb+1YDFB0+IxVSPWBMA
A84tcHS5a7XuKp6zO6V32u2YZDdADv0TtT5DGr24ij257CY3F2yNJKehAh86d+dw4tpSbsclcghF
eCSy4Ac7n98xeaN9R8xC7J6WrJ/V5dyh+QxNds52Y6YT88leJ00m2dhjhdPaLf1FB5ch6uVeprrQ
Po+dOc3b1POgDaUOpA56RCUsKjpYRUE8RG8Y86Ex4vs8r7xsSxYbpQyzLftqyA0Cripki7QnQE2v
6WPy+1wZE4kKamkIKzG1ZIstenmyajU9SajcJ8ZkBmOysts3M1qwYJDe5AbGnA8nBO4jS38B/mQa
kp7MPp30CcmK6eea+zpnfrYFAJMhiRMKc7LpyTt/UelJ6hJugoXk2hMj1Cgf1YuptH3Xj85NN/vN
bvQbg3ZuD2RBliyvcAW4QfmcT7tEj+NHsjbBXiGO2HCixW8upGUfiLq1B4AfjsKHo4wR946FLJyG
pnVuayWTsDfbejXvzwrZPjuXvnM69raNPye0qTpPpRtOeMkJcWNJU8TvBnXUk1mdiyTXcFA1LoUf
WK6cQ5Mtrg1HA5JW9UuTArhqRFj5YiHMy1IuLMlGf+6cLDG2U6Znt37SNneZyDDiCBc6ecUwZN+l
EYRSX3cPC6DVgXbxNOgbfQbgCRZ77p/gJYlt1AnoUdkqryn48T8vVmrv3M7Zk0SvCEiBuzZvfLgn
/HnAT11lDYeYnI1ho6VdjLBWk2TbuSgqqICaIpCMW452autPpNdlQVwzeQ5iZfmYEUjJHHhceh2Z
UN9/ZvFeQoubdK6E8cVe2wkzulC54ReNGtpma3CFIE8YDJjK5k2rHGJAepeYG5sYkuuS/B0MCnmC
Qs5JLmtnrHdilD26Cg9OGXFwa9fCd267olV52DllsQdr0IYkxVonX9Ef2KIgnb9NtEhfEE6lD7B9
vHNkJzTeUhLnLjqd0mwLQCAWl0BULMI1vM+9tLqnGc8AvgzH3hUaZgZzcvRjCzW0DZiTuM8WXIcx
QJbXYt30WAcKU1yC+J2/m3CnAuyVxivraQqoQDPCubHdzwNZEnOQgwCLdhrUR4xc+mLSCJAtBtPe
ulPEAIeOS7+lmr08zO1U7MWEuwk25nBevGG8Ylwy3gE8Z2JPSg78DICkZBEnr6SK0ewxq4q41LTq
3U2NXids6AMFsuLka0V9EyIsc3fmoHvfTIyvF3WXIhtrlvq+HkEhBazn2VvVG90nUerEsBpgevFT
ZOJEUy46pcyaTjpJiTuP5/WsN7F7a9EhCJBkV0ekFVwAlhBqMLsO59IzqP11N3ScCO+W1ydgLQtZ
7ka3dvYZYafHSacWr0UxfkLiae002lJ93WTXadwmmyyTw1WGNvrMIjFseQF5WbyBIFP0LrBg2zRI
tKYmgC1zw9k2aCTnw9yAGO1411s7O9cpNQrgwoYCqi++JrnrLAePQK0wbZSLLagav7lySvygLsR0
OZjmZO1GIip2/zn//1vnf8M2MCL86/P//co3/6/gta2K9GeUJhjB9Y/+1QDw/6AS4rSOscFgVva/
3gvf+gP1AzNb3A+kJf5w/IenbjKzx9pGQpVNk4+mAdvFO08dlBi1tMP0d/X0oiz4J8d/R3wY5QL4
xHWh24D6+RyoJD6YLxSxXWWbpdVhGjxjDAWuvRHSJS9vAg9zh8fcVkEZZ/6tSC0qOZN2yNXoTtWW
Zqrv4wFSxqcsSq0nt0vmmwqE7T2VQPSC/QIVGnJEOs3j4hxqAhAYWnGPznjBKrLfy4rUFzCecksa
Eo7ThNm1deEXWnKVGxV8DXSB1ontuWhCGMhrBtE8j0aQKzeZ2N6z8q2THHjwJs72Ltc6+zqBPXyT
J5G9VleDFuqNZp3aiOA5prROyfmM5N7kOEwdEdHV7F6aJJnWQW9GKIkJAzuNC0J3Ae+6DCdiJp51
yYfaIr/qv3MVxn2tzbQtiFTZQWMiUSzhLy7m8F3EOUWs3wEox4rjhjY6B9rgwmMyqcu3lB/8gGpw
te1T3iN0S6Nvi+s0DWyzsXuqIUrz9/LJnuza6Z5oxud3IocBTyJ7cj2qqPxUd3513XftMJ+nZooJ
M+ZgiYg38bAMFpIo2UA3mFxulqT2b6ecz9W4NTcSG3fExmWx527sbPJul3SpX4zY92+iomI8NCFr
N7aR8Gzks8VYMfTjcOYs3nGqZX2dG424cbqEvkHG0OLQcf92TBMFh+e02S9JMl4k9Gt307s4MXXI
YDSMxr/VUHhfZTlHHjGDpJAGTn0ZtcanqAL1RbyeBWkutY+T8qrrvG0G7X6x5Uz5nRknuwOe2BQI
PSn3TKdDVCB7vrNh7cCGN1/GRTbPzEjNp5qMMysQiBLdgETv7puhST8kuZytxB9ncTvV1JXzbIt7
s03j28lapjgUU6sBxhusFw5NjGd48hyT2EBtfPWXnFq8M8RFXVtevAP9E5/sCSbsAZ9evxyRp5u0
dUkovjABTrONUOKFtGf8Mtl0lsj6I7FczriJR86wHByc/CKxJnFT+xpVqNG67gPdavsyIWud055V
2Jq+8alNFydwDWS8+xj/Lo0uDbhlDS+KG4H4E7ac/4yejQKnF2ODINu1In6fteShu6eaMcT65O9i
IBemOhBAq/Wn3q0VI7oG9d8TnT3Rnxz+QQQ4j89n2v3a/Ty2HTC26JJMmeGcDn33lDTyCvRSfMFA
MBVfM0fLBnNjWpCStFMsda/cemahPziWTrTLgmRBX/oljLAJ7HSX/9hbOsbOJR4f0548K00k1SWi
4ybs6v4uU0YC57s2YaxnpuFjPEzGRxfykXvg9dY+lbEV7au2hR/AMRUgl+7To6OfxJkxx5yq9bhK
vjkln+HASGEiBVuZaguzc/Ul69mReaGznUV5Vy2E4WVddKRd0wWCOc5pTDMVehNsRLsnu6appv2o
2do3Z2GlYQQWNNGyx5SV7efURK5Y994VEeT3jKziLaOMvd9nzqPRtnQ/lFJkd6rqGqXpHTkP5mZo
F362jtw5LLBEOhUok/3ajXdRCZCJcIOzzuzzezZ7V5RQ0TN0gvEwodS9LzmLX2cDXaF5zbCzi264
Mchk3DUVcrUxTea97S5XaeNjo0WBGCQJQ36yCTlvE0AYgCLNqV7bqt7m/vJcRdRFNJSul7q97EkJ
xEmRDAG+bNIoo5LMeVfTL9s2Gq/druBY0FVfBKstQ0fDD9NoXpMY+4zkBqejajebAz7tNKDLo50y
mZJWXNANUV78UqUmgWNGgnvPm8utKTgGF33VPpHlTLqCjPuHjIkfD8ao7VHDvqnWLfZzks1h38Ip
GQwzerFyh1P6FCX20c1sSXPBN/Uj+IIxP1jSds4lWtodQm1UfHVc4cdFWXnyaeYGk6Z5t6oGvJ4u
bE3vEOXesSVPhbt4FJ4Nge5Djo4+9Ju0vxNdEz2KBmm9xew/ZO9NrhbhM6GkIcvckITjz7VXyJ2h
0BlEqenvZNeLfbVg+SGSTn9C56GFPe0oRE7lcoXxtTpTxqLxQ6B/a/E/XHbupAGViR89fC8k2opG
7eJuca9aMzKgFU7oFyDHZ/GFyKUvCORymqDoU+WRQmjBsAcLuWwR7czQrewqGEyDUzoHl80iE7o4
Wg3Rxasif+8x7TxpLeO1For9ptGU9oietXviiSubbarG+qxb7Z0bZdXthBf8ysrycuv33GlV8BjY
406fiH2cjMQ+mLh6UezahIlFXvbd6mz5XckWrlpiySUY+mh02Afd+VRyirWwBTfO1nVS46FK1HBH
Q8f/RkJXHNaCHMomMl80Qbc0LePPrgmrUZtLMjpt56G0id3lncoDYjtWmgjr3DI30UPc2kyFs5fI
VV99s3H2S2X3WKQZc1rp/HkeZkFGbGUiJGhfGwl9YbD0Y55MOXQOs/4eR4R75jCOt6ZvZYcBmW4V
mMgdwsWNjBu8a4R5dWN+Wxou8hsc7nJpVSh7E0WMGQ9pHxAdP9JKpWtDF4R8uFp23xSJbui1KKWo
L9IFxshoDQWD9GzZIscmsZPYk5487WYtZho/6O0Wuiq7XAghI3018/yTZrrVapPQXxLTSw9V6nvf
cWrcqcF4i+huo2DD6KV5z2VhgFV1UO1Pue6dBEP/C2QBNm3U5rmKyUJcyNMGvhixdtZ1CL6cCN54
sA7ZNMujNdRHZ0ZRm7nGQ8o04KLgmd+UqUtAQEs6i5n1SVDr2R56RX2q+uneZr5J8G1SgjLFHJ9k
yzdyPu2gt1R1H/mEAqfdwr2OJP1O0HwDx72qJyeuk7tJIblvNf8r2OLPBprpZ71xrGsibzh0c8ht
jJ7nyvkqTWkc00WRngz+/1yXw7sS+bsnx4C64FuH0y9hYgCxkTnPePBrEgo6u7Y59pBYO/husqdi
8e6QvtMMLcZsR2N0uibfM8LCXp1afvSqaPdpgu5o7uzA8WoeUcOPMYVO5rY1MmwZdfYwgTa5Y8yt
9vWY0jfxTLL2CH+l205XxRs4+7l4CG229Asa6u62c5fHHmrUWmw2RnnNqTBm0iTOZl29OWl8aCDN
bxJNv47G7npV5mB97YK2I+a9li9tQats6aZPY6duaqO/Bj9+SbVGUvDaSSx6SOqEQCC+H1SMooXX
nIBb4qEdK3WizeTZzkWZ+f6FK5sSHylNM/oRIEdzudzQwszP/zn4/TsHP+pwmwymf33wu3ztutev
ieq+9/1PGt7/+ZP/c+5zxR/C9InR4qQGikJflbr/i4lbT32OY+LQtjnEIBf+a/Br/uGvEMB3erP9
Myna+MNE1yYYClswtxgY/6OT38exL1fQGfFwyuRikNR+lvAKC5YTvksalmnxRhiJ2GtYiDapTxT5
D3fn5k9Z8N/a+7mSiT8bJ6RrsUV9uBI9rNJeJoMrmbQkpV6/1Jz8NmOUqN9o3n8ZZXMlriEInPNw
Ob+Pun/wZce9Fi00ResDtY7ijKZfdzgsNm6zPP7jr7QSu8i64HI61/r55g2ITUTVLvUBf99bXuRv
kZa+Zfzr/+Uyjm9jQWTY//E36hHR4ZvBQRBpWKMoT5pNh/M6yKf0/3DreFaFjd6AboPxiwqgJpGw
ImD3MESSGPO1z0uCkH/Rlv8Y5eYbvmuagrgzxAagEH++d94g/fXoUh+ScSSZXM13BAWsTqZH1Gy/
85j86sHgYjBDGdcA08IO9/PFNDI8eTcrBpl0Y7dehwcj89kGESq96j6H0dTGi8sQtP/nj+IKe3fY
4Dwb9ceHh56kXmUWpHkdaBFU96ptGAIILX/UMv7d3z8l6w37QYzPIsF3hHm2Cjl0nbf65++IPI8M
NCJIDxro74NUNawnU4/u//4q/59366ersGT9yDxAugotVqEu1sTknM12ehzkWJ7K9v926374Ph9u
3ZjLpBogkB+SQuH/n7LXhdMPXMbfvl76r18K9Q1wDHiZYoV0fHg8Ksg1PgmV8lAPUHBraAI0+Wtc
je9NCBEhxCBVzdg1QDcPOu6ZbVYwG7cauzwNNBtcQknxB/sTkXgtOXJfvSSVgZfRTSL53ditIOMZ
GOgxXozhsva6iKHNsvonRdVsqpr/y5xEMtRzcMiKHePgTY2E+CXMp9wzqyP5MdELWSTzdpSTQ+9h
yWmvl8TqZTzPOfOomNQWxbEpLyd/OyACP/Y9kcoqL0pmPl5532uZfdLFMn59z+MDs8Bndw2ukhHu
NDLogbrm+UlFH7rQv9CswTLR8Xk0U9ivMuJL50MPqV7E9XVsLtWWgxV9FiILKc0MRfcZ/BBnIzeC
Z9/o0RRmDQpjrWWSKXW+HW0a0qQzrwdMjZ0BGj0TX2RVIe4neoveZOx6JIsM2ODNnGw5pHsGcdXZ
0AmV94mY2vtCagENfPMpTgbnPMVG9hL7VfHojnm6bzqrfm5caaLl5y/aeKPBIY2558JnQjkBB2zN
wbKsmXcdwDTHR81ui8duhKTkawQLalrav0TcmnOSNfW1q7I33eA3VZlrPkk/fUP2GN0z26mO47o0
JvAeOPyaFabOgmE87zZJ3DfYDaa7bKKfxYreU8gRHQavjUah49IoLDiGnNJ4FbraWNavYqsW15kb
l2+uJowro8q4iaog/BDjH1TP98e+QNZ8IlDevyAJqAwRj/I1qc0DtNBzIIFkffIXk68UYz5BEk3I
nWxQlgOMW+2jPYqPoFrW03Zamnp9yYG2FpzkUKAnUa2JEBlz5wece/GjunrZXmi4QZ58rXQ+YVol
vMtLqhPfcQ5xOkQbXSekHS6keKxwcn6yyornx2l1B6o/Nm4AbEkyVDs1QXpopxomOgbuAoUjSelk
xnFu3+BVJNgwAz7Xgcvb1ra+aMFAJR0uM/Tx3qpJHXKKsU4e+1KDR0WcbPYKv1LbiZL3yPUqMF2p
GAgGWjkWYyuGz0u75HunVj2mB63FrJLVlrOES8aBAmFSTFqRy6D4yyLq7hsSkeqIehlaRTE63cPg
YeiPM1oM715pSR4ZJ1xFd9LV16BwezWKw++xT06CpLqBdH2aorgM24kxNAqPN9PH0h0ZRMHxQThh
xUSGarQdxm0i3eQqzgW2l5jYy0zjF1IWW5+y1lwlv/W3mNyje0ysKt+SNp58L2t6rCXCjM3MzGu5
sA31ue7mYU/zTbYboXgQltEvTwzq37oIEXSjMbbs8BnRlvjeq9Yjemm6LxtUWNXwRSUzk+fSJRwC
M8yZrdC7TRQvpVHysXSjGC4H0Pgr/ZHgOeJxNiYNhScabstZF9NOLpzi4mWqGceNeO435DMylOsL
HmpWxekmKSC1lCoT1xZF5a4hzDMksA4p7QCk0epo8yzAWw5yxCTGUUwGtc33NmX2mnaafw0VH3f7
1K2Nk964qmJaQkRgWKdJ8UTlLKgvCo9ooBccv4dyTbbraNRv4F2K674kOa/TWoCeMa6yILFz/9Zw
24azW/HqOCyUbcv6QVdxbXwTMmXSuNvSx4Va6cAHuaUZ3V4Yo2Ile6+0lMB+VBBKsIVdySJmkkzt
jly6rWCLwMLpAxMn29fEKfHikDsWi07nCQZ9h7L32qp73AOjhYQGsuN1R2zUJq3oDxUGOdbbscGD
u5EG8mKodKRUC/zzrjJQKLHqjkn63Oe+8V0fWa2wwhSBo4OLQj9HJ92h8wmbDc/ZSCWx0bTeucpi
Z9eR2BkM1RrsYYF1bXpGK8PiVg+I6AX0O2ASk+6h09NwQSt+YXwfOu57fEolmvU4CqAylqcI0/lt
p1h7NIBB21Hw0ucDhpkB+wU2B5wJcTmkNKFM/YswVH8eNId6tFLXPnajA4FIwz5DgL+XJLFf9m16
baUWXpcsI6tpSvrLKFueUt0an/yV3u7DpNnbi4FfUKRLWNJzvq6ZyJATiIGLjlNqJYS4MJK2+/SB
9/mxHfT4YPoVPphYNgGKkZpA9c4s2BZxErj2F82pFBkFbHrIUOyjlibFY1Oy8uJXEY+6BLWV6kZN
rAQ/KciItbZwbeYZC78Bcw+L1CV3QpXu22UwkC6uDvCS7HZfJmJjIlVEVN4J1BlzUbCYgVzwGx6R
TMjAiPX8WNLbQY5Ze+mmZFwOFWFoaGIXtZXKjRU3vb5xorFBIybNh45+yGlsLHmimwBYpvJVc7KK
DsSnIWcTqmJDfI17nv8k6oFoaFn/JBEhdw3M4HGrY07S9nY6YFscM2EBkzFlNPgneyDYFs2aYr5P
e020yEUX0XpvKDdBgqNAk99rOhxwkWKmPL5HrACTEiIGrMbRQxSEa/CA7xFZGfToIW5Kl5TbFp0i
WaM0NTOm3Ulr49tQxiBZe7oXP9dzxtxTcQ9/F+xJDbmBCgHpPP1abx5OJZ6sbVrrX2xfHWqEOLQC
kY3SBUx2psv7xcIx3DpOpl0aVqll296TtAsh8O95T03wslk3g+L06SU15KVMTfSKmDgPvZEcDVOv
SM/wGuMzfTxCJNijaYvHIBNI8FIa8jVrueJ1jb/GaCwVYzf6PIU3CUpLTTumaCSIIY0B625sl+Xb
Rn4ZcFqyx80KFnK2QLraQ65GbKH+7Az7vy+w1+Son+t4snU4++s6fgP4ffaHCrtblthWnV4cGjbQ
rWuOw2UfK50YupY6oae0vJqhCCTAN6grctGiqm5NSJIEy4M/EL87qP3im18/Dx0CFA/kxv9CDfNi
M+Yd4PPAcXtUMERbBnS4zdLXslB30cw29/d3YK22fzrIMPxFBc+VDOpx8ZEp39mDIxmX4R+F9HJd
RqBTjRJ0SVkm1Vmz5+pPouRPHMIfGxO/5GCvQV7ElmOI1oVl/QLnK1cqh+3mBQtKQ+ogq0SFk7Mc
6m3Wyld4tIIucUI96Pjjzfu2Q0QGVJPEHI1dYoBdiXLgxdXSDPuJ5ODfHOysX44nfD64jSsigdCL
Xw7l9ZRWmm+r/JCg4jupoZNvGIp5p8YeA6vcxDbFdkE2N/LLzOivBhL+4GDwiWuDQjvlS1DKlCda
6CDxTE6eXbpCU4pZOWfbTMUFo//2InfxpfTDCirpVeQc4ohV2Zo4uIY2WJ17wOX2KzoFpv+AWIc9
E0zvdo6Iz9xE81Q86pDVXt53xbIkByAYF+JDfnMvjPUU+/HhcKgooVG6QNE+EuBjNUYZuxderVXN
hbm0gkSaxcFo2Z+bFKGuRtnIADUxd05L7Erc9qe/fzx/OWcLLFsr9E/nJ+ExXXsNP3SX+tlF/JMa
6UFw3t47AOawG4+/WwZ+6VhwFRoVpmt5tokn48ORVKUKfndZgZtCBoaEi4WrhGgTNKZYJV05UScz
AKyrBFPX57//guav95gSZaXR40ch3uHjcZg5IsbrYkwOTN6JdiiwDly8RwZLRWkMSdsBm6I54hFZ
2iOeKkAqyNow4EMjCvBXJPjuYHFDKS+Ub5GWRsaUbTO2pv4WF2B6u28NMYr9UYs6Dq7vn/4/tInf
0CboQPKM/Ot2dVAVVfv6rfqRNvHnn/mfRjVEZiRFa2fZsYg9INPw/zWq6QsTXOjargM8VPypQ/qr
UW2AlOBhET+Yl/6SKLl/CGFgbMLf8mfr+580qu0PT6Xuo1dgOxC08GAk06L8+b3TsTPqkbZoZ8rW
JiMbTgh/Vp9boI1le8p06XEAylnkE5DIHTFAzoWFR2QMY4n91ltZ27NdI98QkZ9bl6VmIuxDUNET
rpoxmScpu9urPOunCKF/6qTphROPAz7Qhf82QkTRLFzrQXcGuIrQh5RUU3JB1eMg1AYw5WmbBJN1
oA2Y8+SJFxumCzKqgpgvAroH/RkKPG2yyu3ber7PGnJPrdC349FDGzupRFynKclrvbA5KUvf1GTg
KKwveLHbRZs33kx0ehDDDPf/w2j5r38rBsihI/O3b81rQTxk+8Ha9+ef+uu9IQkbzq3NKIfJ5cpi
+d/3xrT/YDjAXmXrdBffa7m/3hteNoN4CmbEa87vO4H4r/fG/AMIMkkqPnUgkDZh/JP3xljrxR92
TH19NSEr8RYC/7bNNRH8p/1qsap6RdNdIY8W4cC8pd5UVrYGtHvjcOtqznzKJuzPoU7dDgnBHh4g
VSHE7UTZPP1w927+vOxPtdaHanL9NDYTDI92OPpFNvKfPw0R9nUukAdArCgN+iEQX1COVG4STGhZ
QaiPtnr2CPVNN630YVA12cr4jJbOswPK1PKb6Hv9mr8jUVuzKIwH1Lq+sZ9dJ/puzJox/aYafR/i
fLh/toungfwXUl2Rmnz4xKmX8NvO/ZU1kc1LI3opHoY1EGkHfQHX3gDtMsOOAHt/wTYMcyHXrb0c
WrpKAGz7b9ijOwNOWu1sYRAi2eplog+o2508DuMqS25Az58kQqEOQ6BOOyxpzjkNqYlWgOZepi1q
ut+cMn79GVh9QKnR6+bZsD5OrlhJ4lEDk3cFeZoWXkzALZ5LEAibmjzYG8g54r6OjOI3pcWHShbf
M6UMc02mPvr6T+vH+qF2cvQptusuLtHJ0MugRFVXZdcGqR8lj3//oH2on96vBP8I3PY6z6KU+flK
NaXJ0hCSfeXXVK10QkHiRL0/mxuE5uhBFcRNDJzESmaWM8rfPTQfNyu+pambjmlbTH1YHT5c3vOs
lOwXmV6txuxXomWc15z9udg7i+zInyIRY9b56fdj0bxDcirve1+I7kivxSb90Gp1Ii2zKg8yr5QP
Vlub1jbxUebXAN220MulFziisglXsdxF/a7M/vWHItCJZYN5o2nzrq5YsR9+KN1VTonmnQO4iuQr
RggwrhCLetgSYInK+ER/Kv8CN7S+mJYmISPCnlK6YYP31nvLUgVzEnt4TrPhe9pa3rfBAYvwu0Lc
+eVHxkfNQ8TchrWVt9P6+VO6rZ/qbdJbl5kNE1TgRSD7aj+953WjyWIYMzWYHfHxqU2SJJBQjHLf
4YBBNUfsd1408q4uHJoLXjHGiNRkdQTq2m9qp6kf3DU+PKI7GKj3TPG0t7JxE2VdeTXWhI43a/x4
HHPi3mjvqeTmkMiDQ4L7HUksN+AUrImt22uuKFg+9e/Z5u4ac26ks8nawGBi2eijn10UCZHomGrs
U7LGpC/viemjntiSqo4gdXhWZKqPa7y6MRK0vmTT17pr+nula6Sw4ybxdlHXKLBKpvmpSYwx30ee
RnY7MBKwqbAyhk1aNtqLWmPe6xpbYE5axhE9b/EtHWqX936Nhge7PXmbYQ2MbyOi4wFB1HsD9/l1
w+AptMe22RnGRNp84XhEZg5jTNdrWAPpZWeBo6ZDAfSHtHrDqPoDW42JinyNs/d7r/g8ST1hZijq
e8fqib0XmWbuOlcur75btSEwJmKGh9xH1jlN+qvZFeNbF9e1Q/YrcTvkMptDvJvAFvJyjGM4x4Py
d20VrbRRSx5gqzt4i2ymCS7TMgQ32FyYGEWjt/EqZ0JK2RdRYCG5kfuW6FA6LbN+O9KF4cCPnQ3D
ht30O6sfRYfyzJsu4LQvRXSrxqaXcjOn6J3ab0mUmOby/N/sncdy3Eq2Rf+l5+iAN4OeVKEsfZEi
KU4QlETCAwkkXOLr3wJ1+7VEqcW4854opBBZKLg05+y9thy1ySuBG7UM5fVXU5VZZ6FT7fBx6pdd
3hG1eQzSZt4NAdDmQ9mm7K0zs6hvsZRaJCJZrBB77kG0UlQLJ24XQTRhFRH6se6KfGw2GMxi4nCK
zoiukoaIBuKblAffkR130J27knhW8gTwhS8VXebCraslWXQFFsZib8VKEXiGYeVos0BNt8EKNTsr
4M1EQOtai4gjdFYq0it7XcuIilYSsMOGXITocSMjVgVbkCSo/fwZ1vC6ItCnX5fJQk0cJBmmcF+1
stzUceq/av1AgEio12a3Synt+ZcOLqLoWFle5znIRyfZzGovkcS0yQYlNkrpSA5wvCk3VgBJC8pt
e11SLF87pgLK7k2OKnYo4Wi7cFvNB02UIFYxS+SoEPNS165AaWsQYkn1e8iIb0bw1uKT2eRIvk9k
KVsWfuHaNM6SMZHEe3vI/rsdWdyiumUyto5ZDG1l2wu+wabucLtv8ILPOIYzJcaLEltctNF4Vdow
Moz+2KLmKcI4suJ+idLldqZvHMVqzqz5pcgpHYSYL4syBJuQNAdDT22caB6QbFR/jRWmdRqFM8FN
zkobKehdZ9GY2cgZm2zGLJqxv4HPif9JRDFA1iTwxMZQCR3HJDXwC+SBnYyr5eco9aVBxeMTWzDo
6UzhiJ1S7amtVK20Vcp7ZF4SDwxfnjKvrVl3qhjN/tIVASXWKmi6C3YXTEkxVix+AQMhVytKE6P6
TDocIPKG7ORpK0dnTs+MLu7ubGz8z84UYeDwDR7ebV9NkOgQrtE0LHtj6TRaTS7X/hhtKJE0n4tx
ZGWRxdlwKzGFfRFtYu0Hj7ICLH8HWWLlR3yOU9TZtH1LDKC9ZNk3b+kDRqfxEyPUHCSUhqLDPtAq
SvftZJqA+byYuIU33G6lN8vDmWWNhFQsoZVOygZyrzcja8dkrPhiNbZ144wZLLinAsjTXTJKtiE1
kKk+UMmPzOuMzlt+Mn3ybg+TnY39RYc2l8UnOLZrB0PntKlhQ42Hup4pgk0muY07PfeWk28JOxgZ
n/heojTAolecRY+yOALiDKx+HeQDr44o4P7cVK3HK9/2rAq+g+wNs6uSq8awVVvBvU90bvfYTv1F
qSVCriAFNdOWzo1ubWgjABXm37IBZG0wgEyBsayTu6okxsMKjv6QplT2KYjzXKjYfR6rxXIztZk6
Wd2ky7OYZW52Vosqz259ZoudrHTjEq9w85nKEBiLxE5S8wiqPOjPIlRhQ6har4Ek7ylrJ0wu61r3
GvUVzZNzPfVSJ05eV0P+MLplLPdlpJWvamb3vZFpA5iZfQCFoNRUKEuFWwYPGoKAbTmKuFlRWG82
qh2TE5Y/eUY+cebgem7NmGHPsZmOEhPwdqYN8aYwK14TiB1WcLCr2mheSgZkdUQQxrsxLiP2BocC
Q8oEC2nDJDM2Z8QgEXwUBTTBmWkt7KVe22RPdIuDO02xTCdYqkNzivuZ/LsSJd9wSPFxTJupNJKF
IhK78UFwW9jb54G7nWtioi4m5RV0ayVaXU/u7XIaaF+NLjcn1w05Q4bM6/qicif7nK4ssdJJU2Gq
iBUN7bXvyDK5YyUCRzwAIAglK5VL7JJc3LHj4DfMAqq5BaJppI9GDRZrWMEWydUn0Vm06wHrA49N
PC2Pj1okxi9UMbRhXXjSBf9H7fJmksjgdm3fyHSD0paHNDW7zLrGDzQ7l6Ur4Bc2YtDdCxu1N6JT
VjdyQ4w6d42mMgjOdvZKxg4pi40xWVOL1cv0292M25Kvak+xF6pIgasDW+Q2D5QFadcmLc8aM92S
7UAT5bqiV88Aa4og2/rlEr439Z9j1ToaMYzFwuUzK9rjoxMDUqbw4Q+nBrtvy+TOE73B/8jdZOOg
pvPU6vL63GtFYl2bk164B1QpAec1TVp8kbfaQiCXCLBB95V9d1FA8mQbScF0KxM/T8IRs+YBGyvv
vUIrRroFnqmLt43H/+qPH9QfKVWwyfnv9cfwpXgen9uXH+uP33/nrzqKR84UZT2SpGzK3fCO/lNH
4b8gINFe+a53Ndmt/FVGsYJ/onejIhmAO2X4W7pp/y6j+P+kg2RQloGu5Fumbv2tMkqwbCZ+qANA
08VpCSFJN3z4udBBf95s5NlAc2UOmr3C1fTYZV0lQldYCEqmGd/u5LVltxWNusaQMI9rJNtr4E0B
rhldbKHXVtlqtmbjMUqxAa8qdB1r3tPxZepcLfT5cFiHwFuLmB6rr2lMD8WTrSGPIDZQbCu0BTtl
6TFaE9zzKy4iHjTiWG8zWP3nE7THyyJzIJj4Pel9HsODvY6ysj3SS8nDvsbyp+EbhoRG945lSot3
sEUUW1pgTCcn2418OXNlta44eJgSD7XWdqeK3vmxlelT5jXaY1qU2l3cVBCHmqli/W5i7ojpTwhf
EsyIcCMsJ3kzQDNwtJyTjDhTIzFvbBM3WABVI1SOpbEeqDoQMsSHQl4dcdIj8KqwjW0cUEJbs0F+
Qq+8OyWDeeNak84iq7voahpXvWneYEq6Qxx/YUQo6ZOpuqUca5xPo1gglnj3TR8TnOmX57Ui39MX
j+CKiDA1uukI9+4pcKPDwkZcLUBXjFJPjbPAe+v6dsq0+TOCOT0UFnl8uS96oDLELuNZwT8Q3E14
sbHCEPgQuctXaFauw0cHzWTtvNnTr6xc07bdkNe3sQyKe+BM9j1DZ7WzEDKusUNYW2bCCVhsxySL
HVTO4prq4byPcNN1tmqeybBs79CpAUtJmc7XligYjk1xTUFoH/kzM7vTNVcklLaPKFzuXJnWu3oi
jsRgQX7uRrm3mb3AQOrq4n0s/E/FLDREMNb4iUYh9e8SEPOaxVN5YwZR/1XTm7Zae41u3XRmYV2W
OCyMcDSTiVzHpJk36FdvLQprG6utWuby2jrJogu20kdOYlkJc+tCesnSIcWJwSQ0lKhNdmhdQS3G
wjBWBOCikDAcf9X5g1tfmsbUn8VgQPvt2GrOJ5YA6ZlduvqTzYmHUnXpusTjl4Yoyep6a/jsRkE0
K/1sxGTUHWpYoSsEAp16RaA2azufikr0qgJvvCjM1krQp9j5poBA2K6MIgYomhnflbD/G+g/GOgX
5Dej7H8f6Qn/bNNvzz8O9H/9zl8jva//k4/A2E5R/M3VzsTxbxaeB/DOpLNL44iuk+X9MNTTadKR
piMX1y3dxBzx/0M9ZXYs8O7SwKdSi8Lb+TtD/buqEoh++kuk2tO04q90t34e6GNWCbMv6n5vmj04
RcC47IsJtwrO7d4KwJI4bUWzHPVdGCQfStXfVd7Y81AW9+m/0fACBvC+vdw08RyQu9vtxt4cNp4i
PMJIUQBBni73P9yW3xTjf3soeHpMQ7gk9PfR862VDYZROt2OISfdFSa8GNBcYkM5swn//qG4lAHa
dFTqlB5+vqazgc1K2Tak02nCycaaLkRMlK+7yesPfz7UUpr8YZ5+u4BESOq2bvFQ/KIQoI2A6Nnh
AgZI6qjOm2y3IGVMgxvGVZStvZoZiH5cjusNN+WfD/5OHPDXwZeeOU8xtZN359mBvI7Q/XU7rbZd
OO1TsqkMu/l7gfEcxTF5LmmI2i5eoPcNehn7lhyaqN+1BAeg5jOJt1o5U+MNGyxmKDv+fFLvmgVv
h6NBpaNGMnlM3ucGOs1gWonR9btYQQAEVPriWeYrURklY2t5hpv0r3bkf5Xk/HoZHXPxhiyeJKAZ
79daUQI617fqfmFCg3Rh78bNCurNn89ruRk/PykcheJlgNqKFvCb7uaHIrcNG67Km7zfWemgSGbR
zmPKusowTdL7QA39+Wi/u4o/Hu3do0FbLG5ip+h3/jAauGqQag/Qm0SW048LSJ5u8/zLnw9pLm2G
92dI39xFuEUhn4L+z6+dAhfjjyOvnZG49hVg++I+1nvWP5jh91DlWRg2J29QPnwFW35zO90/Csfa
93Fb74Y+GDb9ZELsHT3xdZos7aBcG/UjGJ7bGdN7Ac4PPXQzfzAwGb+5/4t5SzdY84NNff/E+TIm
KqvjNSKNEHaerY05uPHJGTaaZrEcJPx7Lfx6DPEvi40JPvpJnz3SAg1fXHqgu0E6xdCpfOsvecl/
fTKd3341xuflDXd+7ZxlAZxIaqEdbYaERLjECenPTRRa3W4jm1h+mlIrW+ujGxQYUGcE4hXaKmqr
hLaXE8s64sHZPMts1eB/XlkU+sKogkZXobM7i3uzvTTdWTvMOep92NDkNXgOa0eE2fc9Vb77bvAh
nlIwRGiveVtIAyn64NbfkEJ67HKcxqMGILKLnIDkB+cMHfSnHn/HZW4rREPWjFmBLUU4at1VTYD5
HtnUvML0gSmCuJ9zaF/6gwaDY5dVCPQjR73myjp1foeoH2Q/yquku+KTq+2fn9ZfXxDfcVgY8NYz
BwNF+vlhnWTs9M643HT4kFreJ/QF9YORTnf9HAm4daXxt19JjkgJCfgORiPGm5+PGLTTAK4s73Zt
FB0MaW8KI/4aVOS/WxTEKfU8/vkMf51wfbYJPpgPev4sfd5tIVE/DRX3pttlqhArE6/DIa5HNCAm
QvQ/H+rXxxRCo+macO8Jw0WV9/OpxT2bmpHu8y7wccrUWmMcaohjH1zA3x7FRg3HBhta3ftbhq0H
FMvIBdTcVocn6QXanoK0f/3nkzF+Hcc4G+yIyO5oITP7/Xw2JJWhtwSvuJuIagrpdWRbdyppxksw
oPB+PZYUPPg6ubbH1n+gdrir7Tz9aFh6VwJgIkTdgTjK8Q3Mulhvf/4aTVPbczp4cmcTCbIhLLDY
Ur3vtvbYpf7asmf7AFQcaKpev7y50/MuG3exow8X5TxbR7pE0Qd3wPztd6KfTFHCClizvptWYlvT
tCix5K6K++qgt84m0Hsqtbh0LiMCLjB19eJzQfl6XTSauurxHqxd7EMEoVbgl6ripTCm4TL3YSnN
4xOUf3MNG0Pcqgp/guhSeEVxMh4rVVwSGvLR4uL3J7AIDVGgI6JZqkg/tpojow1g/o5c1ESd4tYT
2360408Jo9haNAAcI2no69JzO2astjzSDHkGsHonWzc49CKK1pPfDhtq5sFNPXv1nW/PL7MTVUcL
M86WGjNeCyAQzBWYgmgmiQ+WR+81qd8fix/O4N3TCZiUL1wr6jNaFmOeCKpj5xBASrhn2KUtg3xP
xSbL9INVU02QgliWP78g1m+fgsDXqVH5pkHW988X0VeMJXS5Jb6ipBOLNt75wrLq2rMl8rFA/1YX
w/RAAlvyFb1F1w/xOqtNahwWmIchlltTl/haXMrtI30mMFlmL3Al6fqO2lAG2Dk2XlRlGAyV3q1n
5RtHz+iyasEDQbHt3hgc/VxzjGJBwzx7g37rKg4UY1laC5qpzgfX/Nel24I+NyjwQUzTfzGTU/Dz
8ihjQGiy4qGKdt6QFaE2Q8ECnGR9sE78zbDtsuRm54mfnLWi//PFlUXuVi2Dzk7g0QsQqzBrUzKy
6RN+cKTlk35er3FaJH2ZgY3mCKP8z0fCmdkLD8rOTrXxXW5YManW8yIGVOwmHJVTstddDfyqa3yk
rP7N7IuJzUQlhkgM9sG7k+xiwryiTEcC6anPKGXgvDYnUiBfC6/7wpbXDf/8yL6tPX85Vwd5qIHI
Gf7du7cmGDQ5pSmPLNvw6tRbrHtUZIWqonBqDfMLHaI7Il6nMFaCxY0NSHqQcUty1fzB2/Pbhwl5
KzMLokxEQz9f9bTvBicZeH9Hv+5CXXjUN2nxww6t4zX+ydc/n/lvJk2XHje3mSg2fAfvbrIbZHmM
dJSbrNppR4EsWs+9n3ywR/zt9TWoZPAkcXl/Mdhn0ohrA7XVjj1yC2p6SrDMZcHajcjYGlFrrGM6
kqGmGgqMEV48qgEFugDtbJ5JDv3zOf+6KUeGxa6QTTm6RowtP1/iEacBVJmcLzN00HxjWGqynYF3
qxiIsaGthSyrHbHbCwm01z94rd47PJYRmnHR5WKzbkeq+e7wXTxQSiWAe6cMO/kiPIqOq7GNuyuS
ph2UNW6Nh7vu+QCsSEtU7+A2OH3QBYMmLRsP7OeoqfFiSCxSTM2u643vgLk/X6XfDDTENLouYww6
uV9E/4nmp8qp3GbnThGpCJgsNrYEqstaPv3gkvzmUDQBbQ+MCGU4rs7PNyTNDCkaerq7bo7KV9tS
eCLB6kOTcnX57W+fFmtQB1LJUlL7ZVQTS0i38O1mB8u6vSE10d3Cho3OsrZ7/vORfjOIcSTKIiwR
Ua293zeaM5k1dc+RQOjHYUSL5raMGxNPmERqNZU2yT6J+mD4+O2lZH9Nfodr2Ahcf76UcaxX6M6c
Zkc7fliXDgagNCtBDOmm/OBQSPH5sHejJisNHRk8okY8We+eZD+36x6KAI+I3erN1lWkCa3TxB5B
T5URMQBuK01cqnlHmLs1jNqWnWM/bWaEGiXpcg4vV2pRYzyQklHckxRBe76tcr8PaQi7ZPJETfKM
xUO7yKESy22cFDiNZLXkWFWckrX23BqRUjA4uJ9GdJ7qDOMexDUkAvMGRSK21DhPjDu3NxHrFDao
8G1mlJO7If0vMUmGMNLyxc0olsQrwQ4mOZuS1orCNs3b5JMsakMdiorq2g7NS2lvNF0Yx3Kmy7uT
fT7IS6esev/C7npSC1zsztWWf2sjgoJW5hDV7ACqGY5VO77wvWrJTnKsOtv2Dmy9QaMBhAlUq/dG
m6M+JlDExEydpPelBNFKexrZ4gG6XyzIDajx9pOUrOJNKZB+nWcD28l07QZixHYuxyAPafyrKawH
ZFRnpUb/mbpDKcxQlM6yuEqh+zyDfKBe4pFLv559u25vhYNyZYfgIVPXI5iy2woESbdRGnkMJ70m
4GTTqyHuDyxip23jT0FKpECMUA8PwzyvpYQSUIHAqzcFdLeOgCScQatGOv4n4Iqg8IqyttbSTogC
ydDF7Uu/v6HOu+3RYj5EwiweCwCJp65yETWW2bTXVFbg+gyucGxvq0ZC8fSqU+RRRLUTlEdIiXam
nY9hDqduG/fD0RrUuDbJb8sIvVg5vUl2RgZ/GCXRN9vSRmBkCtSh3Xo7l+A7kNapu7NJY16xYgaD
T3fxDKjX9MXrkADYhDSsKm94nhvX2Q8Wcr2BhCYixe9R2G9czW2unaBsN4ZepcR9jPOaODDjzC+L
5AI9IJl6Hn50iOL302w5WLOMmzRF0ox8JzpEgU3mTJb3LCrofxXMEqGU3nyTF9Oh6eDKAa90+CNf
MKcIquz2mE+QwmY9bzZT1yIOhJaAaJ5AwtGCWsmdvY58+4RGZ9oYo59sZ0z/a0VbK4xMQjJmlq6n
KC7EU+VL/bxKPOx3HUHXk961wB7gd2kdal6fgjUAv9o5AAcj/72KpgM0TfMglUcLbxqONMy2BKwb
MNbVY4ka6LFKo73n2Ldprx5RZFWbUQ8o1PXRY+lqS0QOKMHD0HvkbmkNijNHu8MbEx1lZKUhQDN/
o2c2vld6p6BggzlM2Dec0lYbrpu49U8ScgNYO3neqcgjnw0RmdKqF0gGAJysLsX+XiK4LP3h1ZZd
jzJynKlw5TDzoJj1dVPhO1ix0myRetVp0N3ltZ/MK5OH56GkWT+FXsM+gsmUQSLD1/eZ3m9+2Yw8
ZZkiRMzPjYPew5vQanz0rjH7Z/yl3ky8EJsIEKyS574a41F+Vgm4+GalzMge83BG4ftZgw6rZzHi
Rw25kth5mll/neCmiL2VQ+AIS78FDgj734PrBsSehE/Pb+MVKEtHO1Ke1SVF2ga1WcuVImOyIk3H
L4e7N7awWWTmXVRWeXoYMyiCDjLPS2OED1mnw0gWASzRY5JK/YurR6wnqe+KjTfrxZlgkv3a4Zx2
N4WKkZ+PTmrRv5furT3k0WtAcb8nFdFFuiIwDYWz8qdP9JnK11a0BGSqUhpP6O7akC2acxUQ0vQZ
IeAYontTu44Vy51PoOPnQfI5SisQrXVmc3wzuKdTZR8QrcsHqnBLI14mM/3qnichsYLmMUHO+7UR
dr7NJ6159Boz3Wd4looD+bj5NkXs8+DU6ALpl49jSCQ5JN6esAfyIk3NQflkE93qus46Y8F1QP9G
yCMl5A27UhJBcvZN5b4UCOFXXRoP9000LopLmJH+KojHiFAA3W4CeDGBBVIhKZZnUBuPxL8mtzjA
sPd7qLm24BWFdo9Oj1P0FkPJGUQavirJKveDOfXjRRxF8VXqY3itdTFf1B3EPDsBwYOOC9aAnrq3
Q2c6M7wArzm6IkmukD8BQ6YxuaFw5lzhHG3cTVWTbzH3U74d68kudxhb4isCNwZvLRxCVXmJGl4q
7i5F+OaY4zW78pJEfGmHuL2xZxjHMuV6p1lONipatZ2fcFG11lZnGo/mjXBa8cVZdpjryp3FEOYN
cEGubLp3JhIqXQ0/htHazVEYWXA+D1J86ZRoHwcwhnT6veYrGBQ0HXOfcFnRmEXHmGoE6oxOfgtG
6VzZc6ONcK6D+GrC1yZY75al+oZk1UaLIEy8s8XKGo1InRtMyyIcAxy1WrKAxuIqySCE9n0k4ePq
xp0wlHOVOnX0SbhJfOk6ff3kxm4eEiE8Y0pHCm/AZ2QR6fSWifnTb46q1aMwRh98tuTk7YGRT598
LWNcjKN0bxGIEwpdi696NAszJjqHFXiFTujKtpri0OaL4BRWWI7NJh+jY1J2/EA0kGARx2PRhdks
gD3MvOeUsSr5QOqpevW9QX7zYttZR5EqDkbbLU95n4ienovp3KZlMtzbdQdmdaz5kqTj5Ce/a8Wz
RWDRrQZGGnZBNSZXyi0rY0UKVftYNPN07buyv9fFlJ/S5XaDSfXPHdjap8YeOFCuqS04sEXcqpHp
aUuuGoZkda3HmnrVZ1zV2oRAFK2NH51QtNqHRk+qcxcaDBrIOYcTrU+fSH2T3+YR5S4sGUriG61M
1KsH2LWCaZdEAHQcQ0JvdrWxWrtajbwZ/AeEk1Rzo5OdsOVaiV426lAOg5tw7jxJs9a0DL24ioeQ
MSu5KvKsNtalMdfXmpVRxIV1wb3WpZ8MB9ciCG4dyO61RpKE10kvs3VTjjh+68y4t2MUd8MojRd3
yLBb8Oo1N4wW82ttZqJdA4EHRNxmTv9i+ojTuWeoljQhuCwuM7nc6SORLCtkX2Rgm4V2Cjqd0cxz
h5dJ+M1NF1UU/htTXHaDEp8nElxvjM6Pr8gMSnddAF8KwzlKepksikGf9xtSUPfQoNjRb+CQSsb4
Ol8ijBFFv7Ki9i7YE0db0UftwoI3PeqmnQUrN7L8pxmky2VUing3FIQNgX/g1jBtnlutncMi8uL0
+o0Rgr1IfmoFoWjtnLx2cS22QgohwmgQ1hcnAMViCyTJAlpBaFoT8qHBcncG12tFR9MOc5go2Oyt
Up2MsoVVX7BrIEoqujeL2CZPt77FBnpBdmpKL1JP2cu0bTjimLhsqP/ofTKAXhYth83dK31Ecoyc
nnFjwb5MeqpdTK4GPEE50a0bQTmCZd/HDLqkD0H7wZqNcO7gpN1xUKoIU97NCz0e23OyvKtjnFRq
xVKfJWBA+48S6nPgoGbPvWo65fVgfRsK+9ikusGQhvlutmSzqVxDrKfOPpumzH5gva1jcZogSY9L
n6nutgmV5UNDghTdsoQF6ZDV6sGfxvikV8m49QAcunXRhMFIkucqbeq9P87P1P/Kz3mJvIo5h4tk
anbMQM8OZ+1Bck/WWZ7LQ67pUHIioKt5aYutRFp9VkaEk9tkaN7wF4+ifKTd9Y3mMtQF8amXHKR3
Iu+6R4G7ojBNCLYX2c+o6t17fBXFPk29e5Jryh3l0oR1IEu5VblImep0TC5Sn8INNOxDhHDuS6JH
43bwNX1HIPAc+mlvhePAyyhFQvpbTqkwVso9Y3FhP0CY2lXOVG95nRiAwZnMq9hFMxWQdvM65L35
MAnbuAzKYEa1UNp3ghjC9cQaduswdnFqsrg3HA/+wsBdcgY5EWjCunDVdi2mwmkSLzOtJnMtYnhB
TcZjQFQvfBBtqogLEwIwO2htSM8ia/GBYGKZUbL1nsuC3o6z54xA8GM8VvuOjO5s5dgacrpsupl1
86HD87HlVdyizQWAQ4+NBZnXX5a2E31C9bxOJ3sgQ9XTyQb0u/Tk6+0c5qXln0mFlC7Sk03iQBDO
rda5IjivrtfJGBBTVxXzQakatg2Y+Yo1mpbzwkGqE/GU4fWwknqFUWIRz7eEUawKLeM1ooc2XARR
lz2Wpu3uHIMCPKU1AiuJhaGk0afadB1EVnOuKGazq/OGFO5WS2Z8QFb7CbbLsc28aR8RNDP4Mr/A
sl2fyQrbkLTrguboSBLxKDvc3kT8uDLbG5MWPIKSQVenkQ1SLa4YZ143wh0Wyx5oHTTixiM+hPZQ
m94XY3ZforZunlixFk+FxGmWSWJzvQLLjgXqd9N5QJeUy4qlUK1B0zvo5nU84aFiOTTtsT4M6VGz
6tEOB0+X3t7LDQSble3WV9oY41OoFOkJlG9IfjD9DChRDxQE7JvhZE9lmVU38D/KGwKIcwLjCLwE
0TR23woJxKmCyA+UQSe1yNT4wAYVwNFps/pW2egpH1tWPNy3lE0OGm4QW4PmWodC+MwowSQ+M1tS
O5sLA/l7TEHyUANLv2N9zM4UkKN9jHMyy8ocO6zsJUUEaIXla04sBDEJcxc96TIzvpAjykxf29gt
ZDNFT2besgm3o5R8BjFH8pvmCBiH5jwQpzHnTnVbNBMDg0ymJasihnK3tYORigbOfB6PxOxZ4BCO
WN8mbo/lhuTG6MkxCLRYBWIqWgK0gpz8jErnMaos1eUhdJW8xkSAXCqsUGl5bGImDpqldiXP0tkh
lVLq1WAk6xFidLxl8conzxop2gd7pPwYJnagtJ2mliUAGaOcEpspwBeJTqyG25YsWskp5S5pM1Pd
GrQUcMd2AOkT9+kCH4sdeHv9gnPsGwsb8WhbwdP3i+kMWtyvAI4a6XoG/gJm0gB1v2I/Ue+sAACH
1WBcJF1jKQpgbKtuHfRj1a5IM8o9KAtSNpj5lO+FQRXoCqr6wl10ZudMtV1964woKriF9FvX4xKV
yXvsUA9pBYipM4mKYdiVZAkkF8HQDa8DwX28Sib2zgtXM5K7XA3mDsxW9VBiy73JvaAhboC0vTuc
BVLtJ8rw0ZXdLzwtc9D5jqzK+dZpFXHzSC6sNPp/NTQx7gnvLrX/BPqnRQwVz1zHz8+VKb+l7F5I
MQR1da7kIF9SnH5Q7wCs0sAI0I7iy0nNaV0Q7MV6l9s57yvqf0Q+SAI2eA5Z0TmJLbKD7rYUUVp6
KwTCNakDtwRQlMHvasxf67LXoxybUo+sypwxf18lg6VjS2cJWXiV2RFPYyafjAzqW1PU+pGedLsf
y966KWN/OkfLlN7PczJ+Gk17+F5W/58G9SMN6gKS/qE0HD53z38BHy6fy5d//WP3UpPITPX4OwXi
8O1f/zC+/85/NKiLlD9AZGQCNYF78h8NqvNPFz0YrzYan0WvyH/9225A7fff9gKd1CaYviBfEXSg
tfhbklP9XYOELQ+GBz4MvpNN9dpdisw/aNECs8YJV/vF3vLjzyMRBqtOMg7RJHysNPe2JfO8Wuo+
fmk8Kkx1295TW+Bsx26pEbGqNw8WCREHuVSQKlzCh2CpKrVKJyVwqTR1Q9C+qggVZL3UoeqlIqUt
tSlayvpJe6tXLZUrq6CuJvw03UZatcAqvRPmBf96nFMU8V15VsGb49P6ZcvYkOKimWaolmoZRa11
M5RXYPgcdANU1DJKa3Dv5xtHRg5MttEjNnHs70BOwTFZqnJECVHRpFA3LhU72cUPrl2mK3Op5nlL
Xa9bKnzZUuvTl6qf4UqKLUslkKX8xqY02FMi7JdaoVqqhiXlwxojIoqoYcRiTW0xXaqM+VJvtJbK
oygalghLNbJd6pLjUqEcbaok2AG+dUv1kjSliI0mFU0WNc/mQI2TMt2RmQLLWkqhMlsqoXNXER1E
cXRcqqQl5dKOsilVlqtoqaP2WjPthUVNbgJTegqWemu3VF7R5WzLYLzBj1CeclQvJJz6pO1mdLSB
/vfFRSuseNyY/sAoQ5jDY8+O8YZGvX2wpNatLatiGSziob1tLC26NW2itOxcMadppfPGcmwYdUR6
SWTZ+BgFDJcIVYP7qbRyUvnqnsJNTdUrGQL8eSMBTNAQ/Btv4XBXhcVCojDxsnWWLz57acYMlXlD
cV/llXPmFFT6dbPA4Vi9zfhGQYE81kV7TrHID7FrGVy8wOwN9pvUD6QpQC7KhRFMMnF1xDTPKrXx
K4/YRhzO2FhrMAkgfiHp0vDYmqOXPXkm64vwDa1Kzyi6f/NM+xY40amEo23kNeENhI+d2csMwHI3
exIC+PoqMDymrDQHSleCWN10FBqvgfSllz1OzmrVx4S6ylRy/0Yg4Bi96a47yD/DtvHhROhWca8o
c31pe886aPizSYeUHVe1rfmZZJiuuYBgaieFoQ5yHpk1tYPIr+Mj0UyoPtSrWF2bMY+mQyxyvneA
0y5iv1idQBfzHZdQ0RP6cVaYtePma0txH4Rf8IF4VAhGgkRU4fOEPTh1pfic8P7tUsDwiwSSHS9B
YKCjvaQr7oVBrhaGNiZEPHk7o7fEizOxn4z6Wly9fbMMda6/HXqDjy9gX9/E80J2dlrYzVaU+Df2
tJTGtK58JVCbmHWSq+9kZo9wijDJQY/jxN82qvRwu0/eVPKDRZSZB2dgEAmR6aqNHkjkgqOdPb09
afiQONqM3K1fGYr9SjpB9fXtgHQkAbkF7HNGjZMCyz3LNfNhrJY+Rlfa3k3rAOusc3C+Bmu6sG3Z
lZhx79mwubmpfQ9yWysXTYQZkaRZwD749sZErHSCwH3DVWewxcxTpGf+aWy0cpPwRBLlEzhk0ZkL
udApAZRRY+eDBgi4LUlF+baIE+32jeA3u6x6m5jdWI3LZfN2t8qxrG/TWGFElnlUdWsDFea6XmI4
FNjEc6OR/8femSxHbqRZ94kgc8yAWVsvAjEzIkgGyWQyNzBOiRlwzMPT/8dZ6mop62/Jal+bMpVM
mRwCcP+Ge8+1wpXzldPhRPz1/chi280nnvqF/2EH9OIx8guMr6CPdLm0ZXwZMIv1WvsIrrtaDXb1
o8S3GxXOTDrV2eh6+vroLh4EprAu3hdp89MmZsQ36Ug6KuLScK/E0dM9xDuY1N+ihnQSW+WUOCqx
RIY22EINhu9cBZ5KNem4x2CiKl21nujOlernqVU5KFApjHWmk43iuKSk6C7qx6SYL8nk45kkwpZA
FVMlq+DInm71ycDKWREKDPSKHBanytKV55M7D9uHoQp75f2gkls6mMsxAHD9o4zg0NbGZ61yXmqV
+JIuZL+UBikwyGzfG2JhSs++55oEIzv0JnUp2TFaZHyHC/xOrFZB3QfDIB/yDjUMmTOaSp+hcaaN
xCs8BNJxAOyrnBqsdMtHQXSNoTJslO5gC8v9oUx7efTdbIcOLA5se+EDVik4Uw1gMlXJOBkROc5M
0U7ReshUeg4+aXM/qkQd4fVyAycS8jVxO6zg5FarqpdakMQzlZU4Qf1xjw0PPtsLh1DtgegbHTSt
RphPr88/zVlepUr5SVTeD55n8cNlaLfWCQPqEDS+zl/5QOmA3dskM0gQLbjCCNspYJlVr4Zl4TxQ
OUNRqiKHbMhSARR2PFwPNaFEsUonEqU3X1imjpg4vuKLys4gyqhUqUbLYJSniqCjnDP/nseq2QiV
gmSqPCTAAEQjFb2W7rMyk2ur1QjB1clQam2YqkthHOaCRCxTytdeJS7VXuuvU334LlQak1C5TL5K
aNKc/h1rxksdmzuhMpxGleZkqlwnm/lmUEF5PTeEPhHGKAKH15DOikQoeAttULbmukOucBo9GmKK
BO/Dcu3h6tJjPWUqXqpyVdJUq0Knxq/8qcEgkQglS/qUKp681RJS1aq4KuZl+dEnpxZqSBuyntUY
STgEXGUtfzYqcNKrACxXRWHBykBmFNdUVqZShsjGu8hBjj9KMec/Rlz2F0clb9kqg6tRaVw5bxEn
+VdIV6zyusKv6C5SCqLTwKpEP7Zf4V5xuzgXQyV+eVFN+Bezy2+dygNz9IZkQZOBKR9iJQg9Ikds
yNL+hNbK4okpw2hV1baEy7SMgK6nvrpU+NyPlkoqCyELAM/4Si9LuivzJSLNlq94s84vtUsXefaB
SiHb6aKqN8kE9gQDYWVtYlLXysIwbomY757GJhn3oHnqZwdYNIJ+UttoC+lt3bFda5ZMMPovh0yl
vDFF1o5CJb9JlQFXqTQ4qXLh0q+EOHY4fFukxiElf3NVjlyrEuWyr2w5lTKXmypvzkDe1asMOmqG
88RWHgHrDsYsfTBRdelXaF1aDiywx7rBtUmmXaLS7QqVc1c1mUUI2HImC3PeNSoNz1C5eLZKyFtU
Vl6mUvMqlZ83qyS9OlXhUdgyX8zOv+gqbw9yLQWIM3dbX4Xx9SqWTwOnykgpSdaQ9njFv+L7WI5z
g1a3JBOwMvBJmG7FaH8z5bSbxilat+byMMPvvEwJ4YAsmIgJLPWdQ4sZ5HqzqYYq+qynmZBqrryh
rvLNoAIHJzFNx2QghLBPiSMc6/CURPXVCm17DUUsPcyLM92EKepVVhtanOkbxrqEgHK66jdurzmJ
8vnEYMR3WTGm0b3ppDWOzR5cJyu90Rqila9pEVdCVAu6XV9EM4OCMZ+nA3GmoORtShXYUlGR2Zu5
TYf15EmDMR/NCeFVnW8PTN+cBPVTGw3xTO4wplprRchkZYBvL57ppe814Q/bogQEHVn9+EAqBeHn
89JeotSusDzb1pnBwveatO7NIp1r4ldakC4dxl62luvct9Pb2pX2WztVc5Aa5fKmt3p3HgtX2yb6
8NlEM8s42xjO3jCYazzi1tGa6H5o3ds7Bj3GiYFLfY0oVTZGyMh11twfWN3CVV306evYRTPbkMYy
ue/DY6ElzipKhQiyugXqPSQT6AIv5qqUOX4OK9lBQn70tW5a2Zl1s5gU2owFPlwDR7FVF83F0bMg
r6z3OCfoEBS7f5yjxSk3qa6KfrAG3ZtgWPhBuHR6GseypY5vrb0JjfLQpP6DwFQjFHZh0VScRnZY
lpDQ1mWx5pPF9v0e+sLynIMiOrdx8U4DGkHXgXLNEKNTM5oyhE1cxu91UXDra3Xx4Q4g/CAAdR04
lmTYNrpoXihfnI3B5uEK320JqIGuZpLat2a6RO1Kx+d7FJZfr9154U3ry/Gb04/9TS3N8rTkg4fh
ZO7y26ysiY4EsR+/IQgRoFDShBwAPeYqEH7DxonWsKIOyH3vw4sEB8cQ2fqVXYP33KHlflnMonxb
YpawjOdNC/x+6SpqjRjLx1Kt82212A/Vih9mJxkq+kIeLOt/qYQARFBkl0SJA3QlE3C+FAM2gFmW
SulYMeaseIQiipL0S11QKqEBQzslOsAv/qVBoHpWkoTpHwIFU4kVmBINP4HyF3tXSRkaJWqYUDdk
SubQKsEDU/VT1vTQ2SPEEE4hhrtICSRMJZWAy0R1q+QTthJSNEpSkSpxBd/YE41fuHYJOd1qKRKM
/EuN8TXK+M/U52+mPoaOkPOvpj7npKV3A14tkz9Ofn7/c/8z+fF+04FuWopaq2LPHP7K393Hvv7b
P3LY/kiY+NPIR0d2p3idFm46Fx7df//Xn5xj7S///48oTAicf9byQaxTPmdMaI5p+nBCf9HyJVxE
dsYC71AQ93vGWrVsNaNlgr4UkjSQLhb7rrbJODGgL0HQr0mDZY2vyjirmp+WUDXYFRQkKoXMYfnv
63NF8HRoTHdNghIDzCNvoMyahXM8TfrlJkzcud+UrTQ2Jq/UGUOX2PNdKgIZEJjsMsTl8OmmSoPC
EnXZwmvC8pzi6L3iHoGgl4bTDk8hc3+X7xdQwoz43gqP4NXobZ1yKimF1XY7HEtW6X65bMGuZ8SC
QDybkXjpKye2NCKx8plddvOgkzahHb0p5lifNVzRH0NkRs529NHsfBNDGCWboo/AF4HH0eyXWPjE
RQDJ8bsYRZCZwR8fCcAZ72rD7cnhjrwxIsUV/cK2ymY9ukJQc7Yiz4raWiVEFntbo0WGvNZiVKsH
3VL/JaG1vvt9ajJZ7pxacE9oWWKvQH00TGX01o1A73mL6eF3dHS6+1XhhEhdEVxEb8UyR7cDNNBN
JVTgY+vOtVzpUe19RzrSaXiAx2lDH+HuemehxB3ZSoihebfTeri4HrJ7pDORuc/JZiebhBCqEWAw
W5d7UCT5jtBVcdZbLycBaSubwUuDIXdq1BTjtrZqeVfHmcEDI12x6vqkChAxh/cD0/SnTNrZdyx9
GYjDMg5M5BpBl2T2J8O99Oq1XHW1P0Eb8jV/G6PyPHSeb76kNvEHYxxz2bhNCVCopA8JIeTrEHti
8hvuqXLJ0nU1MI9EXew0fXSObVUeJn9+dCF5oST2/fbNrtBFFFns0ruYySGLHGKuRsaIrsjbjbLC
BPGS5E/VgLSpZoNA3nXlvzsRa8cV1If0jklQ/RoNEPJZVs7i4oNBBGOS6hrnraMEUULt+ls575hH
Lt9MI39MNWm80AXLiG1m9p5gjf3meLxUFlqXLS5H64BAbiAScCoOjTl+hmHrvS4EA218WdExDXHU
vTZLu0mXBHdLPFpwQ8cbhJA2ignKURwKRFY4MPL3TWRlh8rXnTO7bf1lYul0oYUeEYqP3QG1f36A
RuoH6ErbxxbX7a1JJb7PzMK8GdEmXnIvX/ZFJO17oiX0Sz/I9HuN7uaFT5S6ZOrNm75a8j1bFQQu
i5W/s9V1QtUzuEfwmssdTIzhVHTsDotE6sOKqsa9zmlHLYdhlmPFnJKzNzfmPXs6h/uaV2KfT02o
saBNkmPpROZt7/XtaYDI8jxBYhwAfY7iLFH0nbs4qx97Ii8eksSRR0aE5UabEv+FVV36rRmc7qaz
K1/bTL2bHnHiLsZWL+Lizia5/CAJo0JmjiBbcEtucZbaP+2hqXeW68zPU2ogGfO1A21ncejs8JyL
qlyjcBGr0WezrJfRwfDlzWyLGYoXsBkYhB+ULMBqEOXtBeO/VWlLWmmdKRSzM3drxAI32+TUb0xB
+htRj8k2t4gwcUprvE8ruwac7837qmFNE87j/L2n1Hi3Q3245xcS3k6V7J+hnekqkKpY855066qY
0v2YW+lOWimQtKKvsieZQNDjY+dt0UZIhm4mP0zkhDu0ghOhvyHItgkGGAVp0925+kAgA5M9ZqrG
EMPWso2fC2gJDV9PiIpSoBfxDVRWUzaciYS7kwN9i1EZ0XfD4/1fbB+2mTnTnYs5EWdKdHH2u8y/
aFVh3M/T0HNRtLN/qioVA5VPtznFYw68lWelZ/y5XizFswjHbjokmR4dkR/Q83mImvlllOe+ppN3
TY4aEo1uNMdOj0Zt6fi5CtsIBNmaQUv39B6nI9nTI2hSpl1gNvctMVdvmePS37BY5y7xaQcr40fa
D8khb23kuVaSPOpN2l4jiJAXo5thEvX1kq9oRuqntuz9y2S7yxmNm/aKpEtwo+njNU8q2jPeHvdU
juP8MSM+moMsqknHKu3xqEXFsMMlOFyGrjGPBpS4rZfU9bfRtts7GJLheraGBZv/FN9zs8kXh2Dy
N68r3Z9zglJ+5Si+re9HH2M2pawVFn+FpA/Jn9ffzFNLX6bTfWqVapp8rdUOng6hAJFUPrxKooRy
pE+jifh+0dJjHlv1t7Avu03lyurg2UUSBraTZj9LS6+3rT/Uz15UOs7GqqLizYwib1ey7j73eujd
DF6JLHdamkPse2RMZAb6A4P7jT1jl186S/i3qVe050yfu03vtdWRVHgSlTom5qmV2RfgncNKG8r+
GY0zGYPSH5QIW4Pn04KrupdR650WzZ8/hdnnvcoR47omiTC6ycdOe4xj23kh9YOjJwNjsapatBjq
0JZEBy0hlbXwqls3K81LIsKSY4nxeeblM0Lz0CaFnMB39UyMCYlDvkYqEv1CQH6R95ohMNiKxHwl
4aY6aySdP3iRakjEZJ5GFE8cg7NxN9eLCKKwPKsP8FjnJhKjDnnZXCZrP62NM9FV6SGCRLRq4rK6
qyLDfHK9bthMrpZv8emqQVRaSmCwuKsdLsc8S5hnVKakuxbtvcuY+R0UFtNEvZPLuh8H/wGdBKCt
ujW2Ika3SehibAWFJq27LKyRyBjD5N/nUcnWKOaSHYV58sJm5GNnOHGuhX7uLAfia2d4Gz3R6k8C
vtgPYxzy9yATUGygeQzavJ1BWsztnVxyeZfNst4TV2LsJ9MugwVfQDCOi7/scMa6z9QCBtwpH9kJ
Jgb3p1do/UtRefY2zOR3DA3uRkv9e9No2pSfT2D+pE5pCUZCm7BKu5Q8KNloB4etOUBVcCEhl3a9
vCeyYTKJWH48Guik7IrrbQa9y6NptSxPADuC9cu2esJl3TuZlW5HJNPp2qwX6o+JQ/gCBbVet3Xz
DWtVcTswIZBBuAhrx32H8JzIGri8qCG1RHf3RpV7t64OpQFTXPJCgea0gZYi0KjncN/LNAwi0kyY
vurIXw52HukBT3Z+N1ZyiIEdTClAVFFRvoKe3WRaNl6dpgF/vJjjwRFzeYtWaeQ9MZ2Gh8N3Pyh8
4w3JI8aO4eyCF8SgmJ6oVMsVc9HxYRB59CSyKn9ihe9trahdCAoP6/pWZp1/s2QO1UpkhwfhSnpB
ciKAT2QVN9jKG8IDGS3omqbITI9p5/sstAY96Skx/Wpf1EbUfprEXbbYMrJuhkyxYq57Cgc00VPn
NUd2aTX4/dY8W1YzX/y60dd+lhChEtWIx8tx2UQU/t8Xx7tJLecxcgj66o3kUia2zk9pHYvM1X8k
rmWsGlLIgjp0ULK5hfNdZ9h7YBZCfz7G5rpmy7CR5vLaxPMbITn3nmRUBrzIWecLTtIWKV+AJGLc
CVMDfID6YqJFuElyvdjkafTExwLsFX0lWlD/a0ccrrQ8uR2sxDy3tvWiq/2HQu9gPMjydZZhOZRF
zi+mGGEOFzMBG6YJ6MRlf8Ok1VSOnS2IdNidyXAbozL6Bl4szwJkNEUgkENvMT+BbdOmheEqo52l
mju0QUiw0QyumHeaL7NmTLs0QbRUEBjph7Z7Ozl49aRTZueSx+9Va92N4drhY9G1zl4S9Xi0jVac
4yJP1kM0MkL3Gq65Nk4OiXS97dyiupKsq4OZmRbavC66IKTjZs/S+RaJcL5OvRygZlfQJzD+DBzp
/p3NS5nv/mDyojEEaWiivraUXZH+8M9igDi05jzpveSQFkpaD2Uax9LicUrbfYZPQJT1u6SWKrmy
gfv9oWW++8eX+WNf+oud7euLY0LGgoFPE4bRL198ScrGmReZHPSpat6XtClPMsljkv387PrXX+oX
J6z6UiY4KBMZhkBF8asTFq5z6kxxwZeSRs3KU/fmHBVbVH3+9df51Qv79YUsF7okIhB2gL+6HbMK
pWiTuZHiBcxbwjatg6NsCXmZdHc14B3/NPixSPjQi1epIs84VaL4FmGkaq5D0K2bv/6W/vUjdg38
5F95CPS07i+9fy86L+7oMg6AFJezKBrGxCnC15WV+yi+RBQ371M/8DnrTfgPcP5/5kd/Mz8izUA9
Yv83uW4PoTT50+jo9z/y++hIt63fPAFm1P2X0ZHuiN8Ql6q5ElUV/wkYi99FQ4bxm6Gcmoh7sKQ6
+L7/KSLSvd/Ic2dVRx6GqytH+L8zUfolD0Fljnj27+8vHth/Cb6HBZMvqR0ZD20rlc2BrAlaWZ3v
M1hyFIjSwpMSJ3nzTq6rQaGXaVeWUzP3tTbLIE88O8jbiZ4aBvm41hw96HxNsnwa5EsrBH8P40ze
CG2oEnDZk8xWxJqg9owxyPREa2++TCqGJgiDVZ6kL9tLBf3zqgDpez/irIx1rf8sF400THyr1i2d
ZHw7Qacnobntxlc/kvOry2ApYSfHry2Io4EXg9jBZYuCoj7ajLXeeiNOX7tonO+AIutrBK/zy9ws
TeDLKHMRVSzd59BEOvVvTrcPT+0+ih3cA1qSrCpEr09KNfR3h6ep3tv/Pbq/PgLl3+ZTFWTc6b8G
fxSLZaUq1gw+Foxq2+ztjTSmBgdYNZEqbhp15wJiLvw7mgODfkZlNkvHq+yAVm7YLTEhua5ro9hf
+uG8kN98MZgcfOhJpj2Xtd1e4xlhi52k6RlBBrc3B0n+DUmGt+PQgJ7SmtWt5zVPXU7Uri3HE15W
49GIjR04+Y+0piv+w0vy/7kx/D/brvmhLeGqBxhGnLCsf2FHSOzlUShA6ltVEb7o6tOP6D+/64Y1
3WmuaA59ajaMOcduY8VsH1eF1i3blm3Eeeon8SYznV+Db4/TbQS48zhWpv0QzvxTDS/q05CVfhNp
xngb945+Ij2VItILvyHmMcD8IbXJynEIiHAU+6QcAQlojbbLsFysGYh2m0UUPNNmJ4YbsZgfpdOf
xsbQ918xh7PXKBUq6IlkmrPNZI/GRqBSQdj7kkOtPlpWNb4nMc0GIRPju2Tef/jKh246NWqJWWjK
od92yThdeSmziztovEwt/KHM/BCIUXG4hI3TrrOUFQ6BX0WQsLXu10mCa7FyUyRVC5m9Bnc+QB48
FlPJp7TqyiQ9F7HSrXu58TxjZ//0yCzB8zOi9QCACo0Y/bO+LeO23aPDTm5y0pHOX8B6T2Vk22y6
OiQfPVDvOl7S/Yw92yc0PDKuhJ1Pt22n8ws1lGhq8Zb9aKt3U8uW+wJfz7MV09P7aMtPlKh+oEYt
l79+dn45s+A0egYBVWxUddPns/zCLv9B+GiAZgijwdWucSeWeyw9JbPEFhXWNBLY7PZ+AJeFZ6ep
lnf8lTifO0Z9QNnn+COV1XSRjhEeidOtn93akus8zsWuhvo7Yfil8nWKp6Lmb8mGxsbCOwDjzfns
T1VIRyc67IetHU0b1A3GdRLsl4lZ40ede20+QwFJAo6rmV6GjSkHapWh8ZCdvrE7zdgkKDL5O6dh
ujRZtdx/PbYyxcDInGw+NwzvT7oETEvrI757WtE++4AXnksI9RdEaIy0C/ygMRTdMnkrRbarq0Yr
gn7yGWSbfY9bel4A+mZeTDq2qJFa/fWv/4tt8r/nlfr1K6gjTBuHkpMaTL3af/j1jzXpt9HS4ENr
JBzqDirFam5q7SFdfH4CPTVQadSt9pjOCQMre5K+PE9NGbMFEAnXi8k7iKgor8Ojlw3yNRscnO4+
jRjUXWqXF2RP/DBKM3iok17b/vs/gKWuV92hYgUNpoAJf/gByiVrGx2gyDV3AEhPqT5dahlF29oJ
sSm0JedMWLOuIGqTI6aMbW1DPJ98FaGwbxhahzjyGpODea5ezcnVT86I8yU2cIht69wLH3O3Rnse
lxGKhr/+3r1fSm31y6cqdbFpGERxQaD88/eOAjFpFmu0r1VvU9yPbRv+5GkOPZIyGww+xGqcUxJl
b5nolLsOOwzS2LJ0Dp5MhiOQgCQY0bQdcnvEZQKh+7FzClxEIzHZQVP35e3itcmJ9fV0NxZ+jh2B
fIGfA9cEH1FivbXh2B/Esnj42pWzscc/XbLPISJcptgHJyWY6zB/PhvYnveah/eMRAdjEwIl3eat
GW1lHk8v+JKJGhhVT8zCZLOUbklkh2FMnzqc6WZlFBZcaFpKfbOY0t+aVfamo79sY7OERp5Jecgt
FFOly6tOTTDdfb16oa9FHwyp44EcHP5lj/7quEyNcWX9jtSySM0hQHYUfwjZLttUxOELT97waeWF
OkHUryaldwLVu5wtobwPVsHJx9AWc5pRZI9CGkQ5WrWTfHeL9N2s8OXUUTwdstFog0YJyzQsZCcM
Ju3aRtB3gQHPXfLXDwJF4p/KBl5DegFqBoBAKtQWSfqfnwTO6qJvs6Fmt6J3hI7jiJtWX2dzPk5I
asI6DlySlZIVJttoSykmXx2s88iIOZOIuGwPsVa78LfTHGMeEi984iLJggGHFJOLqNx2BLPwuuqu
eGOwnz9x/HdvBmKRz54Rgrb2HbtwMZF7+FPZ4uXnoezsTeGKmefAKsHE52Ye5ttcD7Gu+EvR7z02
72t6RYLDreIJvaYOHQQXeh5oRrLDzKvdo6SZsab3ov9g2ckRmZXwRirMfZO+wHzjrd27eaJKTvW5
4qjpnlvcKfDjmSpOBnHwvjk/61LCGq9Y9fH9xAXbTF4I2PQ8rKnRWgFdtPsO3Kkgcm/IjhV2DLLk
c2JtkM7UuwXZUXU2ptDCSNRn8TfugeQbc02AWoscTUjnSZE+t0hUUclmtRPtY+oW3B8mpwH+Ihl/
aGyGrxr5iRQ4mMuOwgOBr7WFs24gH0QrMyaKHP1uIfhxoVeu8ko5sdqx4Z/DrldmlhhCTeA5rWWp
wUv5GEVdewgxzVurRU/Nt9gMofNFsA6zGw0+MuWPP99HpAZqmwUtz1uRV5yrXV1AkuBkF4FWwr6P
7DE7zjwIyEdHhNSEZDNxtUHuqegQ0ISz6Jd7cBusGHQ3na4NteWeFCw/WrXtsvw0nMw74NDVNnlf
ZKR1IQyMVrj2xo01DKQhtU4Sg5ZBGQGwnacwqakyVcrvuvNBC65sGYo1dsD8p+uOV6QXpDfZlK0h
1ke3RHqWFReXrKw7g9D6gMsAFUzrz8v914v0n8727zpbLhEuj/+7sz18vMZ/iv4F/aT+xP80tjpw
dZjnDCQI4HBoY/+piSDuhvbVpPWlTmNG88+21iITmHNLEAjEqQUElBHH794YSyf5FxASba06z+iG
/522luiKX05H9TeAeAHwjmGNNMVfAG2ZHta97YbOBceWdmAxMNU3Je5fuBIeOAKXoS6HuYkMX/hO
/rAk0vbf4Gd/xtAAHyw3M+1Ar8xHohqn58zVkhtG6RPOLcND+CBLxys40Fq/WrMsnbsrxtmIfIZo
HOsnZm1sSYn6ys3iJvOTdoe2OU0vLls7xOSUCFvM+eWhCGcOv7Rn3YHmYF0WucVCkjl9nHD9b1K/
v8+IdWhWqRjDU46Q9tT2JKXNzlAfDb8ZPwjd+mEVHZpXvxUv+Vi5OyET+aMpMhGg+nQOjtm+mk2q
hti44gitMJr4ZpnjaS9kZW35oLRLSfuJwd8dtjGjsCYMGlI6hiZggq0Xw9YmuoFyLRnTWy2OjeeB
XB2w9nINZ5fdRBKL6wxU9dr1dblGJPGc24n/NNnTTItOzIU0/Odp8pzNoLax5lDc0+/We6tvjEtT
FHR62DQCkZKeXAzVeLCdODn7Wv7qdzXic1hgGxvew01dZP4ur7Thrc3c8DCHtrnNSj3/ZDBLAZF6
+qcqXGuOnqba+0by2fdGs8GvO323dW8sCZVII5R0HiF3Re79MIweKKWbxvxuquciKZ5rjS9d1hLy
VzwOMA01e0OhTZp9lhCeKd2CYfnIMoH59MBE3Uz84sFdJlCLOJTlQT2RT/XQOluc3vhU8eZkezwe
NZew64KyrwZ3XWooE3eCVnNeS0z8/cphqXq1Mj27m+d2uQ3HWCBxsOpTbBpE1SVisvkqZoV5yLV2
VppTLheamTyMTpufbDBTp3h2zDO4Yii3cTjejU3dbMu2nd47z8pLtmVmF/SZJn/6YKAYuY+Wvivc
dDwhXk32k122p46oEA5oZ4w+YsAKQS5x3ANxL6PV3Ev3RqfDrVZJ5wpiy2axchqfPWxTGqIMamfw
V5HX9t+I3GAIjgfVgN2S1ajoWN2sjSgetqRywXvRCi1dsXn2b4aC9fiqkxZ4CrSuzdYfSWyq+abc
Gs1Au8ztU4RisFgN5Mz+rHA1bdho+3sXq9WpsbUPZ7FBpcZxSp5mGGHTbzR2/NNCu2xCbdm6qfCf
sepkq6Fxb2SIHYy0xBjrhi3eBkfPtwauhvesDheKxIKdkTPEzk4ljKwwGIzf/coymRaFLgxJL9z2
5A1HQZmN8001alYXeDjwjmwLR7kmwSzezADM7lyb6K6lRrPoODBdu8mEy4Qx+ZoDcth5+dh/gwNT
QZoqIculIZeh60fJjSYBCtjsJQpii/mRSEgF8s3F18KyHcG1NMO8YU+TIjwN502CuOhpmOqJjU2t
b2Nb4CP2GYeDLQnPsVc2d45Tr9kQN49Mgpyrb/b7pjSX27EXeHUm92izGxrx3Bks9sMC2fPoVHeA
6DTgVHo7rdC/zA9oV+S5aAcGQgYhaCAcauZ82Br6sRkP3pzE4aEUvksYTk2yDWJqc5LijCIXc0E1
3kdW3ZzmVKYBh6e4tD0fNwaoOCDs1uRQqP11ZI7isNT6By5E5yKtujwAxjMORds7q0RviwAGgcHk
MIx2DQT1dZjIR82VMxo0w+wekJ/Pn4WQkuWPO+/nFKkxgqqCEaAeD/TKRhzoiZ3t3H6S6yTkIBfG
0t0kcT89lbmwtrUsI0rCwTmLiW16VXEQ+TCM1yEwjxezEvF+ht8WaGRoYgPsZg0nie28cAkue8v3
tU89rbXVxO4smB2r/5mGWkWmX1Jd0T7oYD2KFTWOeI2WItrUep6TijMMkP1bjc6JYv2FtqI7NUV+
bfGLHWPfKQOzaeQNeI/ubinRR4+Tt9wJPfFvWzRmqs0Kl40VOc2usNDYo9311iTQDuveja3PSHle
Rnd671WwVMaZma/CbGQvCirhFGs4RCppj88SUFxg6XK5Qv73MW5VzgtwUd4N05FgwDwANUk2ncu4
1ziwIugedmL9yPIBkINbJxc9LMvdIir9dSxQi5Ar9YSwOgyMcTb29uDIYiW00EYJpE9QexbvQGN5
XYR+oHqgL2hM3dlkYuYDLg3bX7vJcD/KLHomZArGaF+0q9kp47uUNXi50upo/CYipz76Zu0eIy+W
HidoyMJ8xKbWduLUEpV6XZb+ro8SuCU5DC1IR1lg8+wxlTAKBeta8UrQtvg6GB0WNwff064Zvjpc
BE3l4T8JowB8nrdPJqffRh4Roa3Zs2j0whOG92xXwfShEk89zDLgVkYJ+oUXKt72Bf1Q1CGrMaYc
EJwXFtTbDcf3GI6vcSLkTiNE72YZWvddd/P8DSmadrHb5r41C/sB3N+TmC3w+35YIwk33UPTacvO
691+U9vu8EQSYH+0neI1XdLuEKewUeuMUKcBtcm+X3JEhuTbtccEhTvalMi6kqBd3S30U2uAZPYA
WvoetIzxAghoPAG6YFCD6W141pNE2+fLYJ8KmaDjSewtye819TecFMf6Nmno2gT8vE1SmugCoiF/
9L1I7nqoTbegO5DctRKQWh1+eoi+Arxt8Q7nD2p0PBn7loCDU2xZ4w0qw+j74LfABdqhWqNsqNeW
Yy8/USg8xkVZEn+aug9ZyLfQ6RkuVmhTKyc1zwOn6gbZ248QiQreSAsQl6xOObxVGDbTaQ516ymv
M6yj8Ko2JKINOxIX/G0yZeGPpp+nHdHTzQ/024g2/d7Hd2EMB3dM+23utD9GnXPFF4W+jRDxZ0pP
n/fxq9bb+Dln9vnIL5ej70NnzKL8Zupu3Ap0P3KjYrhYOQTg2BPwSYSbP6WaUz5QVGU3Ze1x1ds6
DVEyZl56W1WdvkNNKy/we7aF8//YO7PluJWrS79KP0DjBObhFoWaySJZJZEibxAUKQFIzEhMiafv
D7LcPj7dtuO/94WHCIlkqQigcq+91resZu8jJ97jNwRFOTvaPhV2ibHETO48JrFtZ4rhkOCnh6oE
Qg4LXzMfU7sgkOYP9BMK4ZBLnt6kwbMW6pnT7Ak+LA8N+Vg29J1xqpeu2jn+NL8PfuwXbPHxRca5
dJ0wpzeywrza2hg7lvmjytPmzYU9rnPMfS+TII54IT/LoWx3ggQHfd2V1tF9rfsbrB/aAUmQfjrK
y0vsZHZe3TezSVI1t93tNJaIEVB4PmESmbAzlomPNBdsghOswdZcPHDuxWSqF7sJ4MROjxs+QaeY
nk2eAyTAOG2mrBIOsaXpP31wwWGvijEcegKftdsnmGcYljl6UAld5E84wnIrlLoiFBPLNRRtQm3g
V/0Gkzs5MNXHW68aGhkS0ESflYPESaLJqJ0K0nmtF3vf2lTvgp0xeCvhUX/yMEnSLKsScTGm3viY
G6+gv27mgTCaBbnY3NzF1QKE9ObP8SCo6Bj9tP6gum8kF15WRVB+8eY0z+0TlqcsP/ezH9RfJjXy
rgE5mTUNha3ipByKDnahRaja8Eassmu5aZDlVGfifoi0PhY9AHY1/2iA0H1ienZCzggOFg6rftNg
4u2UOTZHIlbY7YwRSj9oruw0jH573zb87Vq69avFnWflqtvxEyG3YkaJBpxU+4zukDpMmrlCR8Og
VGezf3QhFHEHM8xdvMH9soCrC1vywJ92gfOBktelOdMeMm3JSHZXbEJWKFyaBLWyKZ90XMERXDDF
XjydhoNd9P76NFARpz4zqm2OMOYkV80pyw+40u0tjBvzrFcSyo7OJixz8EQSlcV0hKkQRUfj5+l5
U1OdMtovEpwK2lfWEN2TBi2hLdbtjc47d0WoYU1W9Op1cuKHBJc6IkURzDfixUk0igSjXT8s+j3O
cnMjeimjzipmbE5USw5wVRpUdD6FwQOQ+gTAg3gWyqYqT3MpxJfEL/rXnqMnM5McL6paklvpLHLn
r282XYZirwU905djljSUxOPUAZeZESfp+z4qIdtbHJd6T8kzf3UgcnxEnK6ufRIA5GyN9rnDV/bN
gGz2raqT5xhx7c420bwIt+rawTLXrW0VkJUZRv3sBWVzg/InccPGTeXdA7Wxn6q0ffeWjtgrvtoE
SHmq084N/TPbZEtiY0qELfOQF6p4EToBX19M8Z4dDG3tajDMPaNQ/5Voy/Q5wsjcNNCewLokTcQr
qnaiI1YToe8v5Bx7h7RjCyetb9F8I7pupu8Lpz5O/Jojw66e1WPrrcWqVVBk1y4JOIlR3EhYVQzm
VvqagfkG1DCMgeyYLou4g7OeHUsr8C5wjxhgsetErq59L/x6+ZrST4jl3nD5xxGXrbe6k6uXnEeF
yZU/6ZtFeMuDpmrylxg59r05FtdqPSdZC9cVUjpuvlangsHMCSly8mUPgxerErEBJgweOvPnepA1
nO7OsThcZ5W+0n8WSA6qnTycUJko2291P/nlAxZPaQHpdBnGWoNPAbIXyKObIXUJAoZIIsunRop1
ejQCcrNuSkg5q0ZNvfTV3MxflkkjEh9qPQNv/zjokvXFdhg808OXaHXzdOYt6XxSCklLiaIljZoE
6/8u7VGmNkHry5LM+1jz2i9FUc7Pf5J//j87W+MvBhTd11GdHfpoOJWh7vzVe9O08yQwVk4XOq+c
SAtMmjrNkd9IedTAO8fJm1la+1GY2L2dnWZ3Oyc1tr4X3zcDO7O6x4an7YNFRDkkqX//4v66F/n1
2tjnGJQg0F9jrr6hP+10SmNsKz02p0vTdBev4awYH7LxP20e/yIqrT+EOKPtEZSGnfDXN4DyyJmh
d5wumUmjFP9xsY5WXv23BdV/Jcn/IEmaLHQxR/xrSfLyY/pf9z/m7OOfdMnfX/Z3XVK3EBk5KLIb
Rm2BIP8PXVJHf8SgRpSLMYIKJ/7ot+HG8vgiy/KCtQqFapwVA/9bmbSMPyyedS5CYuCxZqHm4i+R
rX8X4fprGRgYdn48N5HtAK0PINz/84XaCrtYpqQSd505ZOrdJt0uw8r2enurY+qvgtBirBbqkFm1
LLUjlSvwXjdIptWhBj23x/6pPjt8tOUGyrkDoFqNy3muXO9H2xVelHGDdEt7qHoQq6z882JS9g27
4kJCPhwHE/r2JxgqXIK6SpBvwXQvIg0eQED23tNYD6NhbXn+sPG7WRUo343LBwDyojUBuQsXWyNv
1pHP5EMwg6G+mX0PZsRYOiyew2Rx8jm9c0dkNP+W8jCvJ8rNfAvYlVHaPRYeXNYlsRZMjDwdyIkV
+kvWev0y7Ktm9M1yA6Ss0s8ZUycMAr394GTW7by2Uaxki8rbLGoSfKmrtOWtqdCX/lvI/Teo1X+4
Abm216aaf30DHosiq4Cd/zkq+fuLft9+vvcHxA2Tvk8HcA7yP9/vH1FJZy0bWnunAlq5VqPT79vP
Nv8AYxXA56XGmxexyvl/v/3cPwLXo7cS1hVuN53s5f/g9uP+/+dnOO2Q9MDiqwPX5SHZ/zIm/emD
InMz9FNDpqe5BfwTTk1NLTD8jXPTemitajbsyB5EcGvyFqfG2qOBOD36DrgHiYJz6IySAim/LtzT
snh2vC3GepnCXtfnJ2Aipb03BCnKpzwQ3UsLa9HZQHhNxEbFBSz+kSAho2rpt2FB0MgMh1Jf4EZR
JXIXCNfjdDl1y5ElbW+HlaiDLeO81W3HtRl0Y001QHYZN4TLfQ2jjVDexy+GDBk8KJ6LblFw3RS9
3CjfMZ3IQOk17wKzTyMZlO79hC8rLMeBPmZT23mSwqCQSUq3OFkb2a0RQj3Nqd5fusQsrysQqdp6
c60BTfXnxCE1pSfILaK5Fk4DPiiZWiTJWh0S6gtPZtNlZ849e/gGHejkOqt3TgU2yJQpBMl+MnMj
mrHL7+zeM1+KAFpAZnXFzTDpeghS+y0B2vvg1CqISGJbj4MpuuNYKztKDfMxdRdW6jzptpoilz83
WP0t4hsXq5qujs5Q6RQFz7Vm9tIPGLYNeTEaDZCQ87NRlkBr3bm9klfzeNvTLLln7rMvU7puqhkC
hjt92rZmXV9ikg4/xegGu5EKxJ10WIiiRMur6QZEvgjUGzEoV1dL6fOW/Bcgz5cAKFnYsSLYNIVz
GidM6R4pyJvopHW15mA+W403PWZSB+Gdp98FFanvTu1OEae2M9qwihwIoyF2DpujdKPxLJ7LW9Hl
JZJzIS+mladYJKCvxkH+1BWiv2hzPmwy7tivBNFjWCbmfFFw9qOGCo2t4fBKNXC50ZqJ/bLwnC7D
wm95fouqRuqqhADp0jTG2Upb/cTO97Pg7z8kg108YSABiwlyLbh6NAk8+cAI0aBjwf6LPomLrbFT
EA1Huhxo737Rhuqqm1zRnjv0d2Zu22eFf6TpyE8yO8v7mhLfV4R4mmnYVKcnW9AaDjm+aFHbRjtq
83zaMzknO60dzi4p4pOeuvfjKFtAoW4FqrwmR+KLmcGnKka27FyDVCMoqJcxnDPsPM8aRzIQKlcf
JNcu9s72CB4TygmglkE8plb3oOF9NDBsRUFhXzn8F9vKbz5k43lrqvpZrf1mmEXeSq8rdiAhe0Wz
uHl2bORfqETnQn1qCQSQmhgQCHX9xR4CWEXkZw/NNGr3kx+QYxuaJBK6/crDUD6YTTnv+BCrqYZO
nKNqpf1sA+Hmw9uTbA7wlmiWyW2lnTxmphAS6isg53Y7eGW3x05kMnmelj6768s+Ddsedh0Yrypm
hoc3GMKrKKkKFeV2mppsl09i3tjMIlc/toqnxneSI21n1B0gixzpmZyfyrlY9lVPzAkGdbdf8tm9
t7sRCC7JmE7ZcR6xAZie8AU9D4bSDlqryInZRroeHGppTzp4JIwuQdQaCFOPKp6s8g4M56Xs/O+4
NZyt6y7BF8FYtqNuOAfSnsWPyvKzB1Ac75XdIJe2BIqWzHh3m9GhJ7jT+zfZ8U8G3N9EXVOY56So
0MBMh0taTwjNlXbBgJUWj4rHbpjOPO8oFwcH7FXqbRkCiphins/jwDWYqVm9BWom1lRmentrO5hO
OjbJxK/Khxp2GUUlAYPhI4kdsFINogTrSptpq3BG7AaLqI/EWQGnZ1VPOWtTBddeeD8J/E6bxASD
OqU+eTjaHyHEkOH0MeZWZR1v7KwcZpSrwWHb1mSutjMWihN8sy93KiW6x8OdfcI8PKeFkoZ9UHhn
Thx70oHPFq39yDVY17idBe07BN1NBvTOr4H+1bN/yAcUyLvZ7tynmQ/sm9XF3CL5xKWHVDw636SR
dad0KZUMqbZ1vvdc/dnGoGiTRYgWezZA/8a7tvS5MKWD/zjVxCBOxKq0XR+IKjnEbX9U1P48pMVQ
3EDvW17YjRTQpHnMhRssU/ra+LbcjqZdHowsSd99xu4gpCWD9r9E9fZdYnUG8q7doEcvEyXCY4PU
NFnjSFR4XkCX8Gj/WeU2s7Flm9N9P0r5iAmr1eHNK9QrHC8NmTQH43VIed7wosNkfm87PXvlMxk6
H9TUe6g65QMhqeCnPqcDvSRFbGG7yccXLS+WS6l7R7yA7IlLy/10qsDBjIJFdiAeN0JgoWLm6NTj
seRpu5GcH1Skim7d78e8iyjlqf88jMq5QxsuPjWhC7gwHKNl6DbZ9BS3tvvM50iwbVg8EnlSiAhA
p5qY3D82w2OXzfNHjqxg8zBK4meahsbH2UN1AEuWao8kWiTVrlbZvdJikl+sAjMiV3Fve4QhywUs
Z5t/2pix8DpVNxj9PuthLssTG+MSGljKzUrqqH1YWgt0Ln49X4UmOb1yq8yAQHaRTq/OpMis+2n7
RgxghMONgSCMA4TdcG6VdsK3OT5SfISMaslO+7B1JR8UyGyqC4HiHwaPBomDp03NW5DMePUUMIlj
Y+BvjkQmWrRL7HAvrZ/ZdujXVn8VNutvkkhWCwqrKY7cc0B2B1PHi6tsJDZeebC1vE5/jYM+trdV
pudzZIyasx8KO7vGQYMv1wIhUbEzBIjoE6Tm8czGxTFGVry56d2pqW9PRtq7kdvYeqTGQYLa4oLz
imZhNOnsbatD23KF2W9pVwrs0JDNkzHIPpJYUe4KbSSo58GTiWZPNEfp2V0VlkXVveadWK33ySAN
DLay/pYr2JTbHlhzSyNEu/ygSsq6j3XWv5bpfreTNPjq4VZ/B7FR76wU9lzEIz4uQzXmkIymIOeJ
iDNCP2ae7t0Hi+29jU5XANRqwP+ZibNAJ7CU9d2bMGr0sWE9A60AD+iX1hoJ7/AeVLVZHwAF83/z
Zcj9A5BzdfVJnI6bGdfl+xiMYNwJuL8hj/VPTgDgayNmU38dFg6Q20SfBq4lXQ4hVE3jM2hZ7G7j
0k2gatQi/gYTp/pKHMKVOwtb4XmQg0LY0TSY9p3Er0INz1Ek+aO+DBngAe+SqBFKbDluANpvYbGx
3VV98GT3gX4ZQBKR1y/xAThQTR/cgrOhbyTeHhOl04RON9rfqZU2KVHEq/ZMFNRjL15ObHcMzTLU
xpAMvkGRJBfZm8t2whN3NEVB9sF2+mhprGI36PpwZ7CCd4eu/JEKc6DkbGAodgW7n3CEnhjlDLVf
E2xB3118Zrux1mkT4re5rFQye7hPzTkn92HlYPRiB0016xJhk0+0xWcDuaoKUX/gDGlpwaPFmu5r
9rYvRTwXX1Co072eORrzQTzcdSxVWYPQpX7OuzLYJDpnxHJKTv5C39euwml78LOgpSDNTPJv0ifB
GmLcYA2XZg5YvqYx3S22hOWca0ZzmvBf3fEvLO5MEvEf8ZL1gGX7/lA27bhLAqs6tkViRWa+vDT4
4IeNYRrde8KG9NFqW7bTetYdf41+/5Wp/vOUDLr5303J1Wf2Xr3/ZUhev+bvQ7L9h4dnF3Mpdjfb
8hAzf8/Ivv8HvDBOYGhRv4bdP5nnjD88VCtdJ8qDyknS8x8zsvcHzQhIS5yJ/zZa/09mZPTM/2dG
JmPJdwto3XR901yF4D/NyAPTWraks7b2VMykt4vi3RFkLqhF0E3K0YgK04MlFcmKAXsrXAXSEW7a
lfeLG9vzxjCqfAv6f/z0cJA9LIBT3wJdUIORBDmNEnxVGc11zDVcLdVb6RCP0V3DfOiyyYUBzYR2
j7WN5EYuSravMihccLb+zYO5fu0IOT7o43tZd9wzDJbPPWTK1zrPRm2zjAW+8lxv5ndsa+UcZlLD
jaxZCYTmOUD6J9QDNwmBq82/p9zF2HC7ElaSopQHbpqCOIOnhidAEQz3K3GaGDPEStainenT9177
HiMl8XrYBb6w9m2wlhjNtL/eWcIb/S0fWBlg5QoyD26nvP5oiNa91mRVLoNU+mawCnlOAjl9sIqv
XjHeE57mMKPO7IXbJ9WI5J3oFZOxMOuQJAoo3rLZ0I2ogyTzp8tCD8gjy4gakrQ/t5iEy8nbF3OW
X3yrnJ/sAn5Lo/pIyfroeROyX8uYCN6BVJEN88bMvEf4swTnhVV+zLIwOI6V/qPrGKwNe9HfALlI
enKk3JKasQ7x0hjEbDVW6k6feJFQy3AmU53Fx0Ua7WlcCpj+euLgDs6c1rvz9dIkaqyp4tkqm+E2
2DknqcGg54w6RuNbRhfzt15jf91MDkUwsITupgWcIAEml0JmZW+mOV7ulsQYXooVeLBZe/zuprhr
z2yCx58B7jNaI1Wv5ZEssACMdlVsG1xXIqqmgF22wfb0nnG2M2A6EOxuf/H2qD1x9klWsnkxqe96
Exi6i7W3AFxG3lrJY+UHlXEgEJNdOWRZL2ZSZjBwHH4agbbuZkA93A1tap8NUzAkpEOdHhiFYVKo
uonMfmwPkzLGa0JifOOWYn7VqqQ7WXoZ/EDa9bqdq+OTCQ1r8rMtAKLgivCzTFhXklr7JhLLfUzt
jIlp9AGqh4Fc8g+7qa0A0QKyaqIvZRSQ48PFiCGc32MOMlWmj94s5L00VHrySCEEW6OesBDGlY1d
SyUlKXRB1bnV6mtRWQ3bouXPjTqx71vAC/WWbVRzEewzMsm5mrv821wZwqYzJQkCm7dnZpMHEHfM
dP6nroyk78M5GJVw8SwFs17cVahgFekxqOPwiSacgPFIC85VTaOlTinNyId2ch8NX3Bktb1lA+EJ
AYqk2G0mdzFu5TwUr3GMt8IoYk5P3oC1dZM3Zo1dTDq3YXAAG6rM6De9rdpNyqHxYjNe3/X4Rvc2
vTWhrCVI4JwCziAe8y34Fi5F7pdrLDEjglwYi6/zr3EVoUIXj14GEziI7IZh/mYvkpBNgYhRORfT
aLXDNHTPNkfoJy331+7OdUK2GJVHgCz39To9l+scXawTNcwH9YRKYRJfZN4GupHgkJPF09RZ+P9+
z+WA8q2g2HqkbSOL8Z1uniw02vRSCu6PdcLXGfVHcWLPy3eytHY/rGpAgCzgrvqAg1AgBCIW/Woh
iVLJt1nVhFVXSLFs09SK1mCsqgMrD/mQIUQEqyIB+AK3y6pSiMWIMZPwtFZIGNWqZcSrqpGzXJDj
uV94D+NeP4tfAogR5PpOl+nX+Zc6gkziewq9BOEEzGyxRe+76qumEiOuMPY9uJMQjz2yC/tZtvvq
7K16TKnXtzGDglXOXg8NBeGGOq8xMn+pOXjz/IOXwsvE7gXh52+6DwpQiwXw1Fny3K/ikAr8cW+u
gpEhgQCFtukxLgZ5egJuZWf885rllR24vA/myd65E4FeLqOzu8pSetKZuNFWqYrCxb3mVNoamONq
Ykd8Ub/ULVkT0vRXyatVKriyKWZfjZOseMpXccwNuk+vTvUT4A3jvJRBu9Uk299NQy/K+pgFIR76
XH5fPKiSETzBOmpXOW5ZhbnETdQFWA/OxdHovi55Mmw0B7OXGWRPTgf7BvIxHj1UL5QUpD8cgeVt
LOL4yVmFQWzTQFcBjkUWv6aA2SPKVyGxmOP3dJUWzVVkNFe5MVuFR3eVIKlHKTe9BW5tlSfngUtH
aPqLs0qXzipipmKON8R5gEPn3sfEaHH1Sa/QMj6rHcHogIYVr/jpyri6kPCQq1g69axu6A9FQuUZ
o92JPkNXbdOyvcIpKaJ2lV2tVYB1Vik2mGX6Yf/SZ4Nayo2XD1cuwuIS1HrxSN0Ue/xV2s1Wkdcw
9EcPMnO0yp3HcpWCC98KIm1Y5eHJeHPGjvOxoeW3chWRnVVO7nGS7OQvjZnH4ao347LbEGuoduqX
Hs1ucG+sErWGtHty5KRAiGfz0e35iJzzxT1qBYXN0X/PyVWf9eo/nJNJgNgcX//1NunLDw5hfz4l
//6K36fkwGIpBCUmACjy953s72Oyobt/uER/CaEaZuD76wn175tclwWUyx+ZcDl1G2bP/z0mm84f
PukSTs7EKH8dr/8nx2RiLpzg/5TcdwhhEnHxWXfZvCAEKigNfz4nQzbTcDDVOkBms3sZNRv7UaE+
/NksLouhtduUXHI4Q0G/epN/L2UzfqP2sL01tXZr9U6eBuUi5/qQhijp1sg0WG68H2uRElxstffB
Yx8U0PtEXMKPMZs4Doygx8pzlPVk28CWy/WgaXjsizrfvAQ2NtyvskDhxxGfLzXpi7xvmnu/6XRM
gDpFs/MM3XmkOYEZNxc2DcSJDv2rmbqu/Vr4JPjmEM99YWBBnl1uaBN1ZuulOoynlOKi5tTbwCx5
glABDip6NnlIbsnCLcbJq5X5bKtEttQn1AaEAqzos4+ZyFPOEcykA2c5V5knvsRKo0EwNDwijFEK
NPtdVLH/mbiC8+Viypl+wHXJjDuOSsZMv8E3E03U8xLkPp9r8+zrFoP74AYp5Gts8Zup92gfH3Uh
xu0C782PEDPAg9XUQEJtYfVRWf2BlZa/nXTfeaW2F6nKStIDwepbQkUrv6xB3Lc0HxyEOT2LOrP2
op+Y5MsgOeRTQh1xWybpSwYbOKFwIzt6/nxPg/kZY9vwIhMer0MhHzmGp7Srjdhex8T96Dlu8KSc
XmFtSBodyJbP1jGZ82cASAg+gSFO4Dm+J1ndbbESDniAB4SeRaNJkLdUI4MSOl4z7aWXeqjI1d4M
guu4ZM9uYZIVz/rzIuspZLy6LGnrbcqhf61LeSJRUx3yPqPSJ7OiGSp/KFXDtrPRjV3XLo9pUtZh
bubPDUUj0dBp9RbM5Q8343BTukv8OAW1i5Vy1qC+UXsgaV3P1ZDv7dE2iFqMD6YAmoCkC1PfiAti
9mN6h/LX3fvs+7aEIfQjR8psV83UeQ4aCvQiW/97Npj0go1O9h1Rcj7NnVIc3x3tmjRq3XwmP2LQ
4Q+O1t+oSEC4p0OMdBOe/iprskOVu+46jxL6qJVD3MqBp4Dt4shzId0Rww12SenA5kq1YD+604/a
yYFFpn0dxTw7Qj53117BOfteW3D6R6eC25V0MP30UkZ1zSGFJLiicoT6R0dHKDY0Tmm+OX8xnEoP
sdM9awXzz1JNYSkbPkh77QVwIIEUiICntHWCDSC47CdAj+5tWLyNMJht88lmbzW2eEIHpedEnnJ2
XW7PHT90fhtZ9qL9rHu3opzSZ8sO7MGHg9mJESK1Kll9mbk+XBkwJu9W2HnzSKaOWFIbd9ml8U2X
pHQGVh8Lq9wYxSC+SLfkeKMbS7LPRG2eqiHpyo2yen4aF1a+wN3tCQm01kaPx/FRTDkMy5HLgjYW
RkN/ntUnDc+6vuV8pU5Dn1UHs0dPDvY9l9YMO9Yl+NryanNWQ1P/02hhyREyipudOw9D+hOnI8Ir
8YK1O1yHvHsxfUe+wgGbcNWmNqsRFF39jD5b7qcMmHjaauZep+OK2XUCniFcWCQ1T4l5Mjc1vbhb
hw7E0GoIY+tNa22BlsOLpB04BPnwjTV+8OxlDahUob1zS73Q9qxTVkRDVtn2Jzjo9kXogES7whRn
2mQ+4bl2UWY22XPZiaJG3Xeye7PjmAa3c4EmZpTGI8H+r21hEpsNAmvF4xT1yQj6Hfyf8W4csuZq
W4F2y23pvZulA48mD+hrKANObQMlqXU4zWT7YkygO1UocJwxDOA+7mXENNXTtJHWW75Ptas1nb6C
9a7N7dh9KpfRAksA3VRri3TvFeMj1Mhsmyl5mAxM4gSG0SFaf/FDFbvV02Sp12qonYM9lsFHZ8on
b7bTKZS5NVIZ1n9zicmQLdO1LYfpIzZyP8oHAsBhbzT9z7i27a3Qeu1MiU+Kn3UwokqnkxSABsXu
iZ/sYnr5QnYNF5JI+cOi6eO9ypA9KzVgQ6pmklhScGsRgEMzN5N9GtgzB37T3xBvYi1mdHu1Ns/T
Dn/PkoPjpqXYI0D8gBo6V8ceKnToTp0TJsZ0HfzFDHOf7DpIN6IiQx0c2nnea6pl68WGe1MbM+Z8
aoI/sIKOW31dUA+GpkWNzNtIlDXRTRxg8kuQiSCyOKNH7brBlH17BGZMnwMBubn1vpaZh/88mAZm
HvosJgUQXwPqsk2rmXzHUM4nLW8/x3y5L/p4OBvzmgpHySDi5FUPJieTO3PmF0sbCBDErCfdhJ/y
oDleQABxHe2rKtv4CYdUzeffPOSCXgpqJB+c1n1bFnjCFZrwNs37N7PO8zNp6Tg0FGNRbE0qbJQw
7rgG5F5mFNpOef5zcItgNzfLW9LwXXN82CzOKPMFMWzEJv5aHv15AHm6MYhTF333iGU93qS0SrDX
9Ql/Fmh7rp680v75swnaHyhTZPcdDgzjbL+UhNI3ZS7b58LnWy10oYUNqOqf3WDjnJZM9DC82aTI
KX2kjVE80VBHJNI3l7sx73kbvPxtKAl98zCteWpn44uvaj4wemuFBJMBTGjNECRFw8HNiu8mTTSb
EsjGcbBLl3IIDwgmDrmdFEt5ZxrmtO0V9EWUhe8yJRsyAmAPp4DXMGGzp2Gq9Z8lOa/H3JLsUivc
1S45zIFu5SlvePm0KYhXbvu8v++nyv/Ses7aHq+rW8ey0iWbudGKIHkaZDE9osqLV0+4N8el8bYu
kott1vJgDX5ibeZUkFKls4yHWZbaX0m4M447Ltpc72/tJXbNTQsRnN/0OKloaWmFychMGpukNtlJ
zpUDdyinmKgx6ocR889BX2bwn7Pjv025ZHOjzx+iifsHLD6a2I5jOh5E01sPpHxHLDgCQqWtNz2l
OSltUOg/JDschytCL6+tHzjXSelEIXhqahwxzMbcMHUWP2Vn+fQRSZHwO0Vkrqk07tw9nhCHW6Zy
e2jVErDUZiAOFqnEujWZGjYeMSvWveKbxNb1vUooQ5/SeIlEnZKuTaxPlqXOrXIz88NIBICaBZ8C
Ab5sWCU/eJhhlqdiwAyk5g8dnDUbzEHelqlrjzEPz/sx1YARV+4jxg/KHqD/RiMfB/PB0BbG19Ed
vc848WCBm9J7CHone3FY4twboGkjKOcFvCur2TQ1wSKa2jw6MUi2XTGjdDD7eCsuc25S5KHHGMC8
vhkSVluUFUbjLNUDY2GxTwAPYyGZeriSBpwyXte+71xtL1DDy30LhOKFp1n+wkfc8A3qhn7LRR8f
dOFlR92ZOPHGrXuiwQrfeqZJOsWUO6GPmJlQZ1zfa4Q87U6BZnJDpCghW7CJuKjY8m3ScoYQDUWj
idwx0fFBEg/rl7l/0f1l+ATSNR58VLdzLUT/wOax+1pbTge0XdaiR7R3qU92iGlwulqeg64vKd1w
mHm/JAZP2A1z0hBES9BYbN2KRo3bTHA/nCF3leXWx6v2dSIQ7H5Lco32IlIkfLL6qHHciB35SdW5
c0Iu2nYvLoIFdpXJJTfpDbdiqaCrEXDX7otqzl7j0ql2FN6XdlQuc3Fkl6uvWiQ+MkCrmh/KtR1G
j2f48/zVw0ws+MTS7EZRW8UhrB2+V2WFkSn1SDf3S3LuKo6kRTXCne7LsfwCbJ34mu6Ze2SY/E7U
st0pZLQIm3yxabSlkCwZG2c3GdX0VNgOxejOwlaWoo98OwpjuGMRMaAkCdjE3pw8mo0Vs1L1RFc/
EJmYnYilt95Sved7rslhAQhTQLdbOPzNT8txM1vttbnXTvYNAugv6+2gWBZ08iCCtESr/2XULea1
0UTiX01aODeRbaCMN7NfwPeXrnXoU9d5MX3sIxE+4cY7dDn34neclnGka+hfd+iXmE24hDuxNf2E
akZzGBtWDd7E06fv6rsRZf0wyMC4zi1omBIVEww4uYmR3OqpnbrmiJVDRENvZXdQe7JNbA7eT4BZ
9oeOHYMkR0ZL034umy+SEGL2ahg2ddU07933K8vGhwDiRK70/R+13yQHdyg5ghs9+cs267znRVCW
Cc9qsbcBeaydNOXyrnOwPk+qIa3EfAzLTt/XfNvTAuAOjH3WfEthwlyJrDknYKK0itPLHhEhsAAU
p7RvJWs1dI0DZKMDptnDOzc2HYXTF5uincjiNX6F6F1CVJnhlSFdbxM+6zict2oL2Af0deEdtf/D
3pk1R4qk2/YXUQY44HAfg5gVoTk15AumVFYyz+AO/Pq70O3qU1XXTlv3e79Ut1WZUilFhPP5t/de
u6lQqrm4k7FJg32Xm/aH60zOscw7VqA5JxPAFH8jSeQc0lgo0DOufxEp6vgm7xP9owgMdShs505M
SfDTrLo7rCY4/wYT0d225yPp3pZRaowvOVfaaQPLVBOD8Np9E0zu7quTA55Xweo2S5OdJia0w4uW
cBsx8u89M/2mxkxxNFIIc4bmSVJpr/I3ZI3AH5sGKLNMiH0dkSmuqLy4G8Qyo+cnx3HKi+uUs+92
40qQINLGl1sq+b1pPOcaRYDvtk2Luwc6jJP3HPxQlMOZdV1IQKjcdfmgeOjo+QG2WnCrJpSyDEnm
mKPU7+zC5MAknnwmBH7vI1/BgqGJKWS1/NHLVXmBuEvMyGr929ygjGsqzXzHJt8hZB6I9xjP8Ebo
nmLkMk3Kd6Pp31sh8YYp/+CwPjWJJKuf2Al75HFzoUGOVbzFxRNblwuFYoKpFc6UoG3IvGL5WFAm
A5HQklUD266mN2qjb5IY1M3S/qyy4g3qz/p+G816Nw5VDt9ACGhexIOKNIjOWdq7H3k/RZsyZlfI
zPwFyJloZsKfHwK/n9pLDRecd0svD5YJJ9LunPSCFyG/Z/9gmtvRmUZ/pxpT4U5g3s4IBGKKY/0z
+X1zCrARk2VUCy18vvm7rriiAdlWR8zw41Ybrf2Ay4SNQNOBF5+Gs8QmQ8Q2l5RjjNskmRvgXV7L
A9jIz7Ys1cOSA3SK0/YH9zVGMayA89ZZsvJEpFFRkwvs+lUNUb9h33MVooxeGKWewYu3oewGeZN4
QofUoDM41skp0ksLYnM0um2lxu+B1V61NQt2wvYLRcJ0finH2Tce7XPaFf5rMlklXOqu2mLoViFt
au4zICFUiSW3b6o5uaRG9U6zSH+c++SJLOMvwUm61zPTURXDfExq+10kVnESqnJ+wvnvoNd2YktT
+8skffGraUpj2ceVjxrM1oPhe2pAIi1e+ejPA8apOs6s7dD4tKCbCIpwpBWekmDWj621JvSgsAG3
ZAGhwZfQ4sDwT28knb3uATB08FhxYA2bRmC/5ceLJEaYLhkMPgnlzjPz7mxXjJJLGk9cdaItL1Uj
r3nm0pDqOQzWVm5QJbXkKdU0NqHPnfIxle9GICCIRp5/4v/wn/LK/2XH9qOT1RwefpqcsTTl59nl
4Yr89wmQfWwPiMQxjQ8ET6XMyq1bTGda3nM+6tYL1kpYSKs6M9rrLnDFFMzBKEGee2r9TDDlpZZ7
sF0mYXp9OBK8qVP6mNXjUar2e+wv54k3PKhWEod5bFyjoGfWKZBdM/LzxFqHvRYQA2XuFefGZf3X
BrTLVIz6IZOpHUaQSLpYPQRZv7IpecdHs7sLpuoBeiJR5RIlCAQnxl9jSAAB0NEgsbncadt5TS0H
2SYymq2mBTGMC2CKidlQ1ViX1nHCUrTt3LE/kVYx2VxQKGjm7s9GR8HDaJis4SINT7Gev+cx7Xf2
MIu9zOkKyAbxI3KV9aR9Mu3eNOsOUkCtf3d7qZ44+3DTeuRmpNmOZxKJV9+0stCKDOeKt89gz5Km
9q4z8/wYeNWVnoQeDr1wxq2d6mDcydgiTAoeDqAWz0eLHmi8wHPzQeSufnd9R5Tb3FiWT8gkEY6H
OTc+ahKvd5TUGMeMBx4+Oimno59n3UXmXJFQ4rJkixn13BGF3olynn8wZ/HRipvyI80s/67WIrou
QzJ+0jv3K+6smdwf6Zdzyxr6Ac4MrRApAJqwSU39zZ/c8d62E2e57SDYkM+VZX1gC1omm2AgMr0s
gbe3alD6Wy9PYS/YaYUrasGRmzak9xwzMm7xOLoqdHkYHNNIPc+x+40JwX1qo7jex3S6HfkczDuv
6y0uV/6LBneyaZLKfopNGlvh8dGh20cfJdyMMCsjP7Skbafbgku6caNthppLQYsirmWV3DBDDNMe
ZEVNL1TqjWen4vzZeAPB00Mc0XLEkqiA0M8ujJmm9CyqyYkn8dQAVhFKr+5eOgAhN22LC4CEAVzd
zWiy48M3EYXEs613r54CcauxZD0r/gBv67fj8jqurR18jAGaCRbUySamx/sqxma8SN49IA4aPRx0
W6WXZfVEUzaI4j50Y8zEhMtwY9mYr3nMr5MQp8w71DOaA7vE56M9ZsORWsCaPqIJ6wFUOB/ckFGo
0PHF9IRmPbB8IrHsESGH09LYRvCCyTz+6VJsDPspjuJpy05tfpxzNZGb54MGQ2aaVzwCF298fUXI
CFo2WyWaX5rxeodE8LAWm2yW3jPPDe62rduMGndD1D5MsbJfMTdUZKYdDuylc637vq0x5Bat8h97
t+N5yllW3xeLgVXWScezSFr2MuVCmXA3G8Nr3hjmrVnq+WA3voX/QPXigWS0fAzg4pfQVaLgBleg
/QP6fH4eel892bZgGTrhvwOaXHGsbkrXr2xmRlLgqdsTX5Da4Yk1araCG9EFROrZ8A88T0CBFDcZ
DlyQD552eaVLfIkDLrztlPf3FBHiRvDmtYqMNdQztUHxOQPWFZJUmH8VTWm9R1bPoLZgxd6y6ehu
kyDAYRBnafs6om/utcFTN4asw8Oe3DKXnXRnxj0NPYYmr8tq9KaLJnlS2hx2Te/lFxqz6dWlN8G8
1ITZvg1ZRQWWN6XlNjGoA/A6J+I4GbAz521z687aP5aJFe96tUBg6CndFQ01Gbj09XD1i1K8sb01
eIjp5tlkvrsAN9T7cWD6Z50p2dIYyeNMhzcYoJh8A1pGGDd9eR2H4NNQFlcHMkikh/E+Ym6yroHi
oyEyO9ml7UrWtvz7ChDGSc+uOnuGJJ4E2nTr0IDFmwZZl31zd+4TDE5GJ/ML2asflT9ZOxUh0mf+
/EH5ZxLSg8XNAKc5Od+IavG2m1+MVER7CVVn19iLAKbm+IdENX2outkmu16zs6nzarZZtOHEFhMV
jBamC8qemGXhpr6ntCqFXBUWwMKTt/Ag68d7X9bsga0ALE5FeWfxOLlJCu+Ah03m5lRH5gATLwSb
t9pFvmHHajFp1Mneyn1qKZDuIUXy783ooYdAdafxERFJzF+C3n4TMYe1a1S71BHLlk3JR0BhwSaI
ETy0TqhlNQpzS8y73ttW7hy1Ux6cOHtcfNIl5DPdMBjNBTrBcieSFKZz1r42fZvde/F4jAybbEQ7
HNTiqO8GYF84PMabMC0MEwsT8tQa6aFRPKihdHyUQdY+6LF9GGu7mDdm7fNot5qqw7Vu3CFxg0gz
7eREmtm+OMr46RhyvFLg1xFWxwCcIoOx6Amct0G7cLwwvqgGG1VXtK//la3/HdmaOLGFZvy/y9Zr
Cvn8e9f/Pv9Zu/7Hl/1Du5YCSj/rxsBxhOAG8ieLp3R/w1bOxGuvtQBIyP+UrmEgEnkl60g62Zby
LyFkqP/8cabJfzFRmy3vP5GuMZP+Vbkmve6SX+fIRjuX9A/8LYXMhqkqV13qGMDJF2HViWFHiQaY
moQgxc1kdq16illonmsTSNZJkX95SBpDlYec4tqce7cqyg3lOzQEAXuCdIfAYTdEXmJMRRjmVG8e
JIVPiEhtFi5wg25j4hBiC1wnep7syn3zKvVR4O6GIVQ+qxZC1LAisfsueMYGDi6sordtU3sFNxnX
ogagW+nvo2bNvPHB/T2CMUGt4NH6FuRW5lFchw2pqiCb9p2iS2ulHRNzwc3mwXCgg2G6Lblabi3D
sh6jBcxZ2RvBr97usFFhsKMkRpULTUAsyzvyJjltlMoCBq/7FYDeI22sv6h8oTWvk8kPXv80NIyV
2aot1Z1c+ga4dWBZqJmExtOCvh5KQdcZSTXd2/icWNxvvDIog1eVLS0suRXzLUt6NYlAsZWzA3xz
5rQcB92TfDQAxC6WrzWCKEzxPh2CUKe1GFn0BOgimMGhZmkSMMcu88dyazex8T6Own3yB+48G28U
1qWDv2QetGtBOM4L6VNjM1pv3RccOp9M/rSiTKY7vymMX0uig5DMRnTOkwmELeUOt43r+4evvx/Z
ku7EOxsAIZjv7mQXAy9GhTjFaEaB4d7soLGPI9wgFkPLPq35JSMRgX5YFDc4OaT2JfatEdvDOJD3
u5B2TJJjVFj5cvT6oROA7GSeHgQwmxo43oK0a8BQX5z6pDpnAEidfaHzY/uN6cRnwG1m38TnAIht
HEreC36Tn7MRkgvfPaV+qCdw6EjXfarLpXjpDFE8JU03v7VN0l/8ShDJWBTVQsLuvC2JNHFGTI5v
CPYkr9nccOAHswudjxfbp5MN7Zhtc6hqfshsAQ7uYleoDnhZaHx024GHbTCQTs2woSEOzwdSUoAr
C1v80ly86buCellj/1wmbGV2lub7IDOH5DYv6DZegrFANa09G53TweVG94TqIP7vBvZfj1EJYz1d
NBMihuftMpgRMn2JCEs1kX+whgBZv0jESzH6+aH0J+6puZcE5FCGtPQPuWX2Txil3tyhYOvpYv3z
p5kVkGrZoWYjHRt0yhfXMo4wxfUU4+xTHwKxI+0mHE0MwHHkw7qid6C7W5aivu+9pXzoDUH96jzT
35g61nmM4RhYdhsDg/ac4yK9YWdjTjnTc7eKU7YWoS5c8W2iJGXjljNbsrXuAHFUM5T2MJ8qm2Zq
JsUo31eDmnZ2PTgQC6JsCUfdG4e2Ef2Vq3x2N1HWjoCr3fuBIpMdwgiDvil7c308FlG2wcnmXIoA
lPyWHb18o0k7vUaWFX/ORNVIztckHnnpl2YtnfWEBxLRgsezmXE2VKHJ13yAc+RDb2TdVB3jumyf
uCM3GWQrJqExAQ2N3aZaviFnsKrPsHIypXfnBcjqi+G5zM8tbAms4UbNFSLGa7GrmNxwhxSDs7UT
Wr9xqUIU1RwU1mYstLlVnjffIKHXD8m09K8BP784OdEyZaemrMmNgq3rziOVc6sAP1Jkjww7QJpy
qUXh2kspcCJri2Bk04VdYSfPHtW9ZKJIFLPEKrMbNWT5zOQGqdTMbA8elMckR8Zl4o4Ou03PJJkA
MOy6lOGOsIu8rWk5eKavi8Mf1N2yIjszILZVMcBe9JfuvvPz/Cwr5W9rzWFue5jXt703Ru9fJ0ub
D9GvYCrzM6zrfgtWioXb16eo8Ti0JgyBLx3p+K3H7R98DpBETo2ZJ0xXe9VhgjJ2aiq2r3wctP1o
ues3opVv2tJWx9+EVPBy1aZWxBS0EVS3PO3n256uhRlTB7j/fgTs3mFVuPnvuPTvjEv4KPx/OS6d
av23KMzXF/xh8jN/s1wpgUj8JQcT4O9zbO7mtoS6Yv8Z1eKstkDP8qUDSGKNwfxPDsYxGaDWZI0J
d4IqWAAv/wErgkvDX6ckCPvCdYRHRodhTgoB/frP/j4kpEFVMvXPZltON0bWs8XCKvU4CTf/WVZq
OemvlCa0MhKb+Vd48yvG+ZXoxIBj3JNyY12ZoK/dO2KIXvIFE+9Nu0ZCkwEc8alu18xmVOHyXley
BEi5U++IlMmX2R30w9hx0G26mZPsTPKx+KnWKKpqR/8lmeqMiCz7LHhbTB0z63cirCQyTzgt0pNa
461ZsiZdva/UKzOf95Oys+J3oCknDG/LbRZM6nVIW+eRWC/ZWZSk6Bd6QnkXG+qawz3EnkapzPuy
Bm8deldep7gtQ5vV7i9DiAbDVOy27aab5H2Dok2wZxY9ft54ui5cFPGkUefxS5aG8VBXGUBFqcr4
Vhk2CrvTENSMydwC4sCGdbGTLMeliJWQVKqGubg0cUXFddTvXBUl76yl4ykUPg+yXrokkkFaFE+z
lSR3ozuS4qUq+ZjqIj7E7DDOLsSCg1lPDeadsvSeyiRe0sNSJYVEPyPtR4bf5uBMwEizg3Hq4Cf7
f6DWFPxIMraFwpqFdBraUd5y0ubZDgAcd1YYEV5YtFNw03Ev/eKH0EYQNP6tQyoHe7+S46OSZXuM
weofc8PsyRpF/hAGKTz+0Fm85qmlOvVsSZ+0sD3xy+HyS/Mnh9udhXnL3Pjxkt0hotVjSGZRvRUj
rhC2xIMPYqPGDJosM94MRPDgDAopGrZxqbNd0aNIwWpl0TelxHI50wFr6onllJn2OJ+yUiQUqqNy
cvf8BRdoHo/msLTp1vBF/UtjSnFYty2F3qTOMnwy83rGkX16QUUtDx/6cFrMMTwcOYk92my5Zdzj
0uGuTOZ0HxiiY3MqKGy06oB41ZRa+m6hLjd7ac08mtAvDJ+uWEwLYCAOFByneBNkcg8TeraKn7y6
NmuVhKoTfrco4CxAL2wOqHC/NT1ZRres74JtadVsDJxBvWtX028yW/a32Od7RD3GhWJ5cnoEal1B
MgsHixblY1RZzd6o0X3hXnih4hJ2ngcHebLMSz7eogvpfgopA9M4YAlkcs2udz2ew7AdrGifJfm8
MeRAiw9tOzzGWSsUuXVjM3RdaxNpa6qdR9BhRx7fLltE1rWotOT3zWo+elPL732cJnC4yqFgmN0Y
70Cnas1bA+KJt+37UYRE+QGVZstwtulwR5RnuQ48RF9GsbCuAIJ+aN1xRAgtl/bG61lv29lYYgis
nGqT1p57QK4CSB/0DzhBW8pHs1+LL75RobbxCj//6SPzbjOPCbxOs/7ZGFFjMS/IEKk9YcHgWk+d
Q7c8kWPsRgHJ9g0F4FOIXYgJUcd+SOQfAuWIAOZUL4HTsZlE4NrQlXvMhviRhvVkV1KoEUYtGNcs
NdHgSJnRUYOCQw+st/62a/1sCpFsTcgZGESdBXnRA4hsZ/aj16wp7mLJd7PTuSc8pMgy1AZMG5pm
x6tLGmXXThmoV2CLr6JwHO5QbrZNcuTCqUlIQI2DfJaSJu9GY+ThkOo5UwgjcFambmR8Yq9hY57k
LHXMHEk7reLsflGcjTnMx2O9OM5xNILsoi0jmHZxH0/7yMYHM1RmGTKmcdNN8/a2pKv6ILlLEfS1
P0yP5BLUYbWfonLZ0LY1cMdUJnRCfikPmpjcDpmhIhgWF/y2bZHxQWVADT7TdOYh4otV3E+nYQrp
bqkuKayMu6z3YS+aXDUUds1DOdjmzvSRXth9jvuu98s3Mkf+fTLgnQ1jXv63jBoB2x2hCudTdWfh
KARqEJvPIOLx/MzO8C6t2HmSdEk+tG2ClxkSyr5oSEGrZfBPoEv6nF4TA0K+bxccukk6PrFAA3ee
9OJD9LylhWj1ZaKH8+pbTX+cDNe647aVh9NAahFbx/zEptLzgdVb6e2gAvI3RLIuKH64ZBI3C1XW
56zYfI7MIr6zgj5DhDBSkOuj9De58iUkCRFvRUY1EA7HZDkjOiT7kmAoFL4i+pYAk2XF3Lj9d0Ie
Kb5zQ6UXVn/9sbcjhM3Fmn6Uw5hjLmyWZ6EEKn2UyW4D62qIN7Ltv7WMkpeF+PWFeLyCu+qZGe+3
Nnl0vdF6ogzB3rOEbbazbrEEe/OQvDZtg8178Wgt7GuisRxM7ZEn+vSR5ACMReKwd6B6bgLJIoCR
2s4SZrwrz+zdH4Zx7jNSeMIahjdsJWuEBWuQlZtvGCILSG+T7NJXh8RPhXe39kaeRLkJNHipExal
FSDq3WhBd5+Fmspdw8bgpz8obxflM2E37Btyk1DdoTZdp6NNnMzjQZvls56oBkoxsu94k0YnXspi
O1ZV8SDWvKhbSa5uaHWth0nqv/PxvzUfk1sGdPa/rxNvPqr+rzEYIkbrl/wxITu/uWRMJPh+13EC
22JK/WcMxgZo6NiMu3DNnK82sD+Iamz0/kRQQ4lnyWcLj+nO+Y8aQ4ma/39TMWRFVHgLxiJ+cu9v
u8M2GnwKnifvplxFoZC1pYUHyUIjw6PQG83QbiSABrKfeSnq6LbGDuYSwDQN8oHLwLvyqYCEb5SA
zDygpjtjmZBQjn7EOzochQKIKNtiaW7zhA4ZuS87qD/6djDzNEGPt5GPQqc3wD7vh74ovYty2v4z
j/XD4KQS7IptyNBJPLkvHCjd+76NEdyW+cnwl8W6oK+mTdgGVgWUgfMwWw6wEnrzUk1W4eJkNbES
YNtK+2PR+mN7Tz1K/tS1UfDeF4sgm8dDd3Ueqay5oXU6ITY+B29sQJyabzF7y24KCtqsGilNOiRn
kgWrJ/8ubyvvvSWQvTWCWn+HXMwTh+Tavh5nIMVdAhA7Uzbmulok+OKG2mgO+VIWpwyE/3cMle2b
3QtC4Wi6wWcd+J/FNN/6GMHYEeXlfOIf0VWNnrhL3dQ8BgEW4iET60IPPXGjRIDwkFUJBmD8Y+iN
sQIg1YAN3jA6cyTiNJ/ZZbrqiEGpvB+tsX+ZkhLaRjfrA7y7+QFFZT7zYFxz5ymDKzEiIz0mRZb+
5P3gPmQ59SY7xeLvDoq7f5hwwR77erIIbw/Vc7JIRnB/rO95xMoQhxG9U44/2FfHRbE06Fl1Nl5r
i7vaicdt0DAul8TDWEFbC12VLqCRdHTGnWVX446eN6Dc1NfshWYHWjgZbiSqz5bvuCubPS5ONkVp
u5wcerQ+CaXLU9JbzRMmheh2NNr6UhvxiNyzGPPdNC4e6tp+UqwZEbn/+F/SvY5Kroa7wpbD1ARk
0m5aFThVd86aPtbVmQSvLuqtHKI2C/Z2ZzxCMvY1CwxNsdoC2hPI0ud/T9R/70SFEPkvT1RWduNn
/hd5hmNv/aJ/nKm+9VsgA7SXLwrsKsH8wd8IfnNZRnDMykD6RHP/hIgNfrOI+FmmaQqaLy2Tc/h/
Tli2INgBAHOwsFy/6j/YO1gsMP4cK3R8G32H/AvrB3pObftvB6zwRNKxc43PymLiIQ9syQdtxQvv
8Wo4gEoNzsr8kRkaK3XrwO/Oap8wWK2GI/hBdRCt1R5IkJvm/3uGf07/J/6dz1uBwlP9pef9K9H4
p+5P/mr8cDyJ0LbW0OPfySBT784utmnvJBWU+LuAQfwOkzBnPYck6R9rrJ+w/BjOLu2izRDjoDAa
BeyfC1P0068q66G3XL/tds0sS/m6NEZ8OyetHjiwezwVCSSnDqQm2gHDuOFvCxeh4Y7ov98bW8cb
DP+oc4zmDrtoHL5WQZ5qYoTEFfQtmVXM6GTQGgwwt2jB35HH3DKJkeZiPxuc/W60VshHtptQmTjd
k27cBdoX94vljd+CuimwnrTItpzgBcATnbU/SnoRH2n7xWmhHFDwYUoucSbi7QKAUxHOjDPWcmyu
qZrJgWSjgLne0t2rYw3qJ3qZotg4dOnSnVv8Kcgjov9MzaS7C0qwol7W3wAaPzcUijzLKp3urWCa
D9g+BtoLEnWeDGVsU7lw4haQIm5bR8yXKk72Bl3Z3GFGq340nODdFPgpjBR/5nbJi+SNWtBGbszR
1VcDssQDrChAhTKZ+51O1XSJ5fJkjnFx1834K6clwPPWa8+K935uOD+6niaHAI1kM2EWZ+0uzNR7
xJjYPCIHihCrD+t+tUjaZURn5VeuNb34lsVYPibKmZEH2h0XXXvfBoV+nk1zokwVUtHkNS56SFnt
GzkkeWh13hj2rDDWFlBMYSJqdjDgjY1Yd88TO/QTewgdWm3sPfBbb2+wIHX7TBbmOaYj+BzguDsn
llnE26gyizfadvvnWnLxbbUl6ZwaDdYtfboACrWni1Cm/BnLxNtDx2qJg/HTd7YawmJW3c5OSd/R
0ayIxrY0aW6avEk+ct72NL52UzjwTsNxE+tHYrP6FhS5unF1P+4KJw0AUCTFjrKWamNr2o2WahCP
yVB2MGRIL8Ws2nlLd6WM9poryhwureO9Ifo6Ic1CPEt9vGduoK0PO2avX2bz/DsySnRtgRVuSeJ1
R7iJIHcGNhjvPIlpLycXbJ1s5WUdK3cxE68cYCGSIrbhqUi3x6Vut6Uk7xG05AxMPAbbIi5iXFd9
ZDy7U48/wzGK4RTASrkJGhd248Tv8aRoDeg3pVUkl5g78g0cQn57Dq1DoaPWXZiiSmu2XXRRP3I+
S+1ouhoK3T0vuqkuQUGpBJ0DbX51SUxg7wsoBfLT9dOV+C1gLeYNRTiTllC4KYF+kBUILWTj2jvl
Q/ctSPTyQ6pl2kW6d06BlwFi9Ojo2TYW7UqchPpdJSzrNg0waBMPL67vbZ52OcQtim1mLPWd/F5F
Mhi3LvRHaggoGlG3MGmcE22iGr4O22ryvfgzystMzATjyqzUqY692gUQR3d2mLH6gklbeySG0ti+
6wtHP3gdwSlKGBLFSFr1xR013rh9iJRk7DJVbXAvt/CPNOw8bj2Og5sSFS4FVFqULwxC7WM6iqHe
TeiCV+qG24vRrlAWKeCzpCupRTJCFVtrTJ2tuZJcPN6jlMCsfBe1uN1V20lyn9o6/4bvqXr2VyJM
PKO2lA1JEo5nDl+3z/PPLKa3k13eipRhOefd9+lcGG9AiYHOTCt/xhYrikZ+YWnipvO6vbPSarpF
tOe5tPQ7LUswilaqjTXAt2F1siUXa+AwX+k3pr2CcIaViZMEKttLrbonV9QgcyLLSx4s17Zfa1Wm
j3KesH32XR/fw9lv0L/wixehTQXs95oK23LjQHx0D93K6olWak+C8GYh/0/qOmA4J5RqaTeBkeev
QiI38TtjWhlAroLWCalmUL843wMMaonet5I6H88I+BZxYC4XaJpin80iO3W5Pe1ajQmWs2E6ZSuP
aLXx8w/edJzzfMhzSByb2axXFslCtIFkMFCjzIVvZH2hjuRsr9ijHgISqBHu04q9x83ge97Xy0b5
MYZHbhOs/QQ/pLLkrk+8z0wA7dC+g7+xncQLLJvmlHFZuMfJbvFdy0+7XeFMhMjE3WQ0lyzi6F/c
4hLPfvQ5QXUKJMxCzzXWzHVpbH2TksSmcbLb2aUD0uHiwBcsk32HXx7UEIlafeuuACnbHu1tmeDP
GjFsbVLfNL4T+G0fOltMN45LHjLscXe+O26gPtWKqsqFK0lU1dNhnUt+FCvSinepK0I4fZCuHLg9
/m5eAVh9TS5tw+O0uxH+CtFyRQIty+oX6ezG2YDjrMsuEPu5M1JKQwDuvHjZMFS7dsVxOV9krvmL
0hXTNx/RsbbSu4YvkpefSM1d2l8xO1+sr3HFfqUrAIxLMS8XFU1Opu4MynEfZ9N7yqfIPWRfBDFS
X8CGKsyq1/6LMbbewe+ivAKVMyT193mFkQ0jWDI4Xbxe1HpBKzNEVn0XblvyZwIzs1esGYt2mDky
6cqr3/bWpec441O0wtDiLy4acxc5ysKnFQY/t51/IHC99wY2VHe2BFyrLGjOGWSnNQnhG6zaYYwl
UAMiXe2MuiUBk8DfJtY1Pzgrk3v6wnOvpEkCqiu1G2vDYxxoHtb0DFxpEsRVXPMRu6QoaiSVQN/0
FEGloHHdEqcxflq1jVZSOPyh9ocftA17ocUIziBW6INDBbO7HezjgC3gMgCfXgnkfrbCyIOVS46r
AkQ52TTgzpOxSC74MBYurbVAb9RfcPPuC3TOeNK92tmKP1fCAYU+8tB/4FOLAxGzJrD0YOWmq6zj
SYCzoWqPdC8603bSUUIRD6hY4MKF8J8mAtzb+gvJ7qx0dr/DFrtJgrUkC0dQdu2SOZ9CjvYSZJU/
YZQP2kc89fJ7i2XxUHswrjZ5mkMyxfUN1lK21aHtOwQyIy5N4g3WwiOjlcl4SHGK3tsgbMszNekB
+GtJUWZlOmlYmLF5avysMMOqVsamF6Nnbif4X2K48fzZRgj677Xu37nW2dyd/iVW8ZpW1e8YSP+i
Jv/jq/641wW/4acWeHmcgP3Un8s/AvkbrQQBqzLPFOvFju/1x64s+I2MK6cY+1Tx1Uzwz5sdYjMr
Ihx8lmD99uXj+09udpYt/nq3o69dcnmSuP/4C9Im8ve7HY65cnBot6C9qU5aOJ1wwLeTVVFXM1hT
s8uRicngCtXQzGXQmLLzSPn+PiEIM4otKfhRlsfXaaaYHLs5jrjXaUEAecE8K4B299aP2Lfjb+U0
yjCNCROS3hmu0IYpkdTYtvFkIc7SxGXIa6z5j6HypoBKQuStI6m/6kZm+M/KyX0oukH8wOIczTdm
31JM5nj2AJeMzcc3kUejvPRLu0A0LDzN88jBUvgzW+YOqGmPXgS3ZhNkzZ4eVxj3TLtb0Zki5Ikw
vlNqplnmjaqke0ykLlwVpuJmn68+rZgZiXYjMCwkYoso/WYlM9DuRFdL2BFT9U6O5/Y/Jb7pJ88Z
bZi9BE/sKftZtAHFqDJN6RBpiVEpZduHzE6fyYzl9x4oXgB0wSyusyTCu1azpscBKgzuWraru8Ey
PqYcSAHJ5hIOOkWSBAkDsWuJzGKx8jlIMdW07m5xjP6RG4d7VchSO2sYpXUamXfrm2EJopel9OUT
XWvRczfMtn+iRkWslaGNW9yw4SJaI2GNvSkovzvQ7zIkTCD5HXAytwTUzx4H5c3QIFMQVYKlYTOr
m8w7s74ZxgENzoibZCeBZT22VeyAx43isjvmFnurgV3dBkAHPah6qbbSnym2ddhM7X28l0dqCrHO
LQL//tIby3NQSARf7DQyPTo46oqXtPPHCjGVtZuJYdxhy7fTAx1z/QGwENnpUxKvUf8yo+rZ+oj7
pYt55WCFuC71qGXvhDbAEECVkeb+FlU7D6biKVVg+ZPoq+hhBfStxTCpS5rK4akXJrjmYOSQIdgQ
SMBQ1bsk/IslUiHplgYXoHzOCeKWrn2Kx+7qzj7JB2Y1kpq3TruwfKbg1ZnK6IzvdF+RwP1GNOFh
Yn2y6fg2+5j09KZU87tl6mUvZRoh1M9PZpH1p7ZL/i9tZ7Zbt5Jt2V+pHyDAYBsECvWw+17aVmNb
L4Qky+y7YM+vr0HnuQVbdsn3FFAPmUDiOM1DbjJixVpzjhmuJ6eKT1WmseLbjIVp5hmYs+EZJjXm
rlqjtM9IjjxYbYqRQBbRUUvHaa9XfJoGIJ4HbzSe8kZaywrdxyKeHWWI7rtNkbsNkx+TwpPy40UV
Kj2oiBi1ynHx+U6ZviZtZ1to3rK2ynZjTdSGGChXUably6DSOAyXggMhYZpv9lR9cQfB2dxngulU
SNOZwSZyqVuyX3ntGJxyGxoAVX65reLprsF7PreMBXIqm32XOPBb/u3jY2yPlPD+QP0J96N9K/GB
r2QIPdTlY9tRJqwSF/1jHsAjKKpqn/f4gsz0E1a2E/zArada1FvGdB85zbbQayoKzsW1F+1zSEOU
peM6iHn6gRMuZWc91FW1leNwjg2NkazdDhsY/w22g4kkRt96dJhxL3pAjyuRpW+ppStMnb3DOD9k
+KgxZ8R4s0RdObuJbBbBSJ6BP4IWzVBC6NID9ScN66ojW1lnZNJhuup63q2yFjm/h7M16gwPbeiB
X1bpK/3sCMCV7h3A1DD7UkSaAnyNcY008Y5c8nDFVyGuQVhdGVVid+CmpiK/DKDIn9N5NUtan7gA
SaEKU8mwPkUGlv+ipG/HD6Y25VB6X90q/KJrdbcgaPk73QCxC+juLOuIgBmUTkCGNN+DBUbDoGZZ
v6LgKQlScrw9CaiffEdd5wCmDcuExO6v9YzqMft8Zl3BrkZOBPQus4kvMK87lApJsyX60N7oRdVe
7MAOP5kYos9q0D9NSmtWVpx9rQMDZofX3nAe2+QMgBfIVQnZyGtE1cDdCXpH0q3Hm9hM4PdphfUM
bOaSmCG7A3qlIREeNKHmPoXDtDGyyb/Dp3wuf3h+RRM/uFr8YAekMYBXf64n74sTGHujBcBRirbc
ZCkz+dDoN3Wv9vhrt4xhfJ4iUB5DBBU+fvWa02tc22qqUacY96XvJrzASYGvB2HO0a56/YI3/FPr
lSeoOY9OYiDMSem1Fxbq5Lpcc/B7wrJOHrVFD2heS0tN3sraBJoSD5/wSSMFKbugWrKMyqfED8SX
1JbOioAYPjXN8hcGCFkXNkJXIWqURrOxu8o4KieWDADKqCKJpQiXyZjKLVkO0z4sml1Txocu8pNt
k+o4Hj0NjninbdjMMFn7novDzZoHLlZrvVoc+lmwC01exkm3rmEG8xzZVHVO2wg7at8Vawz64Us5
OBwdjPaEpoc9oU8fhMWQxi8w/0xsrDGZI1jc77qxvlSRm712CFU9OX7hZJuuO+7HGfDRLBHBR8du
NPdCkW9rhb40UBfZ02WwLQJVieYpVxx2xdGObFCbmjlCaw7Mr+QTlZ8wtSQEMKuG0yYtQogtmZnf
IhRDKlAoAgkb9jWc+/luLFBjCIHeBktyezKC3F9GhlHucNJEIGy0B6xT8/ZMNk0xB5hIwkUAODxC
s8tv9KDshpU1poDmyCyJ20+o3+XeqxO8rJ35YNETfCHVV8PInuVtsrHdHpGcmYoe0Y6FMHvHPosU
GL9UpnW3InSjZWP1zafazm/7XENql2hX0hfam2SIPsNAoUE3OMWhmpzPsrbSe2DKB0ND+y+4vZlP
Wj2xvOINwr5A6rJQa/JEFcoczVjHaFS3Top+ViI9h5GD7iequ69eENQQgIi8CLoewJqHNBxfhPzu
tHawau0SbmVops9AIsY7t4czlrRkjSd2ucxk5j66LoofzXc4tbthfJ8HYMeGXq+3nov81jQHTtDM
tbCOTexM5mAmG+IXWJA9/vUC2rec6b6VKnkZdQ3Hnpd3n2GGwsVpw0uKzZawBLZsNy4FgfORAkAw
QVBZlLpKjwAeMN+2eJKnOg/Owkh3TeLjSYZCt25br/gEBKgKWG7D9qpVppxF3tVnbfJ2RTMO911N
prHwIjTzHjbpU94036pEvrI6p/SDHW/VKr99wPXKCNX0tqWniD/qtWjtlw4bROQ5qwYu1TK0DT1f
4nI0LjmwYLRydnWK6SgsoCGMJwbD3q4H/LRyw+o1DbI5qSGNxG1ZYg5mgayHtUn3hcyqpg/TLYne
9YaTacLmVWNTZ5hiHgMHw2FKLfio98ocsS6kclho1mgiGTTFS57ahDtEOXitiWRWmsOEvdAVXU8t
z9zwWCwnLBIUwB3CIxwLUYufzKTBwEFlPvLn8ITAKaarjMqDdOiog4KX+SLrw6Nqe3cDci+4QznX
KHGm0FoiLn0EcL13jP5b4TvOlh7Ti2fRTs2acli3JM7ufXIgFtNge4xt8T8o62DH6LK8qCtXacGw
YrDap66xkC9Oc0hsCU3CTgt/QVgMe2BS7ELoMsDCSpzwUqQ7szEsMnji7kBC6dpX5iUOY/MhsgiY
T0uiDEA2FMeYTukycb27caL721Xqk6JXvtXFC0NqiqbYL9bYgB8EVkqspsTLaJa5csKypJ0K66sj
PkU5I7FiVbqjXwsKQtEpgmsvloWWl8vI6lbgUCqWFJKuLYnPva4A8kI9eOqREDkU+RsgOER/e+XD
UOQFnUtAi3aUHXsHYylO6mzFcYV2YENC0SJwS/bFtNgXyPO8nraEE5ivad4+FOVo32jOdIWOo1My
2+Nm6HNrqcoGPPWI67ik0aqpodvQLzEeaW0TqJNm2cPQ1IhggdMuh5EeTizQDDADWsahrUFxiovi
lGTTQ1aVw6bAZERIlx99S5RYicGdrlPEmz6kDu3FH4596T+4Ij1VYWtdFBbpZVvl3ymA8Z2G9VrE
E3HiGhOIwepuhrAON1PaZg/KimefdUv6u0U+uEVwCYW3tBejFqdndGyoivok2+AGI4NF+i96DZDY
I+tpG/bJcK1GV9t4tSPgHrhUPqL0bnA1XHKCtC8GEeYZxtTlhHoeRJ8+XozYOzDWJlUX49XShfm4
YIzan6Tpfis4c6RC+2rI6TkogfWJGn9Jw1ZsxMmmT6e9LxO4nJq2TVEOY8leCEJxT6KOy12VqNsq
Mo/Q1Vgiw4rEXCDjm7LkiNsZytyaDcjnAn+EGcdHKVD+ylg/6Il8sN3QXJjR9Dy47avfBi9FAVCa
AJpr25zdwn8o0LMhu8yDJ00zuiXJZvsmmujWme4JkfAXWRYr5XnFNmGDXBiBLC9gvMCn5ro40aO+
xj0VmlbH+pKMOBCQWHn1S+JD2wwm7bZ1cFOjdBkmtoUYCtnsWKhATKNSG6Ws94o3+GlU4ZuZ9Lwj
PlMJnEbgAXpysHGw29nXtIBNt44ikV3YtsDvDIWZUuQVysUbovJr3xjNrsNajjbaSbZxBDVvWRpK
DzHbNuVXoxfRcuiRWSq7rB76VjK8wQizp7JOaBaH+dbyckgDI/SkXm+djcrb+1HBTqwK78aTRKPl
kSa+21HdHqcwcg6lKdUOi2pyaAt/3Ni9pe4tLLcrVKvPnOPjM81TDvmBzpwvIPelLoKTOdDtbZm7
nwHmErwDbHZrEli1ikG+bTrXmtOl8J8pLNm+mefbLjetVTDAx8oYjRLW0CDVoVGMwg1KvdVK/Hux
uWbE6t84onF2bgo0IWthphvusxukPDEK23PeIppT8bgnSwZ6Ud9dRFZQWtQh+KPEI31Cj1Zwds1V
nIUoVUs7pxRSE3p+/vra65ct307gAIIxOPlvZhIU3QG8zMMQbxj3pntqxz30bGyJadZt5hiONSv6
yE9v5+sUx1ocgqYeNfmpjTVry3GYros5xF87stWpphlYn9mu2Yl6TgyXsfaOeQ3Vp8QkuDJ8Ytlb
aN9axxEEVXp1dMeagOEgjXZ1Ys1yIzLIk6bWj00Cv7IuzO/V1J5HL1WopRj2TtFFsLqv8RBkt7Hi
ZyywqsVICwHwpJDseuIJnSJqSF+WgBkQH0XGzAQssnPguI9oCGpGb6JaDiQcLOph2ORC3wY9PQ9k
N5xnAMtt2gQwkyZpBEdR8zYV5dUpGsLTsTUqNM1TYK7pNHDWMsx8mWmASXum9Iaf0rIx66UeDqzK
UIB3YZGq9ZRAg8Kvfej5UpeMxnzG1Q1rpC3UiiLwpXPjFwLp99KqboemGPZRPRorjpFHlujH0u/y
jdUOa45bvMlidJckiPUImCIdAHNrbMmooJUCAQ6Ci7lXpfg0xhqtbXJlO8g2VSVyKK3hlH+uLFA3
i77v5cZIxT1r5ydjDED1BThJE6fn9CXJfFMcCRtNZ7gCkYWuwEr4UX8IcV8sbCt/wUvmXeMA3h0V
7ZapHlnlpB4+SGHdMtImYqoUBuR2HeWazegEfJWD6NzWVk7qgnX0ISNnfvgmRXWpJ+OYSOfZFMam
TJ8bAQu4kd8VCZkcdUFyzGCMZZ2RwAcjRsRlDFew+1422LsY0jxBUA3XlQXGqC61ZYJngcYKbnl3
ij3cDjn9AHrglC6x/xQX8S0ki6Rb1q1yhmWpW+4N0mbjoFHXl4shAPjcdxzMu2pU/CF2clBDAOxg
r67zepgN7GRl9RVo4UwclW6TuEWvfSZStRs6OcGBLcvGxy8w8WMhrtqTVkxqa9VGijAbqs4+Siv/
VrKqIYCrhYLFaIdVKHHQg3O41ywnqzcZMpBxo7QE3ospQtptDueEkeXDaKNNbHmiQh7LM7L9kr5D
q436CSmx9VIng5s0Jx+NMV2Lxf+Xnv32rbg8Z2/1/5wzll4pLljnwuZ//fo/SZP+J4Jp9dw8//I/
1j/66Nf2TY2f3uo25f/6H+3O/Cf/u//wf7z9d7rxeDasD0VW5+cof/vZAP/P/+OfTrxDbK/pEGhv
GjaRv7aHyOkfjZUryDjSXQu1FNxEOVvj/6sRT3iwTWtcAm0xpGnodM//kVjRiNfxieFa14X3H6z7
f938P8KlD1O4f+3CW3Qu0bDy93gQFXCZzQqsnwKORo9UJlB40471Eni5PZ6RVv8kOfuTVuq3SyC1
tW0s9mQ2sV69u4Tft6kWzG7uzjd56+VCG3GtOzzS/yMV/n+4Cs/y5xvBKzJAyuAqbv5Ua0/F8NbY
fxN9/eVGZjnwT8+K7qrF5ItLtNPV1a+wtKrp5eO7ECjo3l9FIrywmIdCRbAA6797XHWqEXvEYWIH
p0O9Fq7DCSTSZ354z6Vtn9wnJKw+6n9OUqyf7WYA9LFmjRHbcej6bVQq9Ygj1RQAjup4pcgyN+ys
s1coNPqTB30KYp7SV2ZDNS8ICb1jUDtb0rM2ZjzAgc+N3fhYO51LAmf5lMkSSqWsSXwS3a6l0kc/
ExLUitoI9JMbntOyZPuvWlDRkWIhUm28D/XUPXI4cb5qGR4iyrsxPOuV5hyR3CD3oQ1IKoDdHZsg
ayHxD8SKostqTy1Jjw8kuqWrsAzpzbnVq2Nk7sGPIB8CrOpWNVCtrWXUJ1BbzcOQj9a1RzK91Vo3
XRemivcWtL1F2gprUyeSIS2bDdyrJFvHJjONwRi6T6bb8JcksjmxDYzrYpLGiAijFsABEdAWbA0g
advw6sdd/+o12XjtJggGSwcoDiU/8jVwoFDsHP9LWAJ9WGVeOj04PWJx0mXEm1KDli7t2mq+g9gm
shqWXvPoGZEMN4PTWNcO9dXSnR8wXKIz7HaDpnwzB1yBRUO74jcEbfpmg2CF6C8fTwJ+vJpQGCKP
XEZNsXaJA+utqTl29WMzT5yGB2sy3jw8jl8HA2OO1WrRlybBq6aPWM4WKqzENu+tt6kplIcxuJp2
cYUcLU4hGNP0Ije41fn7MoiXBCW6ySHz7Pox0qgoOIm6xwyl4LnMen8NYxUFH2NzzDxGvA9yCJGe
YliH9AegpQEUbgEhOFh6/uiv8dbr0C9SGRzs0TJ2qAy5gDE5lB4xtKlMJrvYjrs7wBftXYMxBQ6j
V/NikD9zTQNECHrqJwfJABONVtGuO6KYbiS0UZoRpgBNp0q4Eqydl6aHqr3Hx51RLiB6Zt+MCKmm
zyI+odkKrmNAjEJMv2wg7SGyb6hz4m0YBPpWWMp/oQRFMTQYmn8xgP77yyR0Xdz4IofK7PvWzRgq
AwLw6CypMa0DeaDVqdJc8UnAf9g7Xunc+pqpbdGPmLeuyIJTb9mPflZxvkbgMwORO33XhpVjMG/B
pN/SqhmWqPr9l4YUIcSGfdEsTK3VtsUYyu9WnMjvZC0DIiBh56jwCr+Eng7/qK0IHwBuohO909CQ
QQvP8/Bxcq3ENDAGrHmSdTek6xCz/U7UYtxl1Owzt9G618l6WfujxB5jarbYSjdXW044/Rdp+B16
MTu86lml7zosRs6KCjNaMlTsTMY/Qr4KOKSHKmuzC7G0/bMyzZwDSODdDGIy71OvGSH81+RgDhU2
894IxlsTW/oGZZW8JY0yfx5Du78SeDDcDgyJLkNdOSf6AuMZY6N9TEogeaKCyoYpx7kr0Tqtmmmc
iM7SJKg23eAClZgXr9Qg31NNupsviNlK3EUO9W4V4eNEmNrr3y0GM2Ba0iIk/LiLv9mTU++AT9Xr
RMvqLa+GvRrIAeRkWAI3LnpiwiCe13CZQxQ7OqC1tHcQVoVFFd5PRoaoBVwLf6fth8xlPOwWEM8n
IHldcG+IYjqMyVgdEe2Oy9T26ZDHTq5DHs5iby+pGDYIW5yVawXe3q69As7XQItbnwWyYRJhzXRM
3gnJXHtDldCsSZVSe03pM22mkuMGnYi2Bjnjo9TU6ZSRk8tzGIqJlCl0ILd5qqoXbFoNy1iXXFPM
Zdsw1sdlwyrwFEXetC46190RLNS94c+YNhz57aORi3zbFxHHM7KOwfwlhXhBR1mPaG4j/3sNluNx
rIl/QiFOa3j+40bu2DQIqVzHIZiR6LShb3r4Ujc/iCedBDqw5h3+EcYnIf0yoV38uGQ0zWQbp7bo
R4yGN7euG/0l4Xj32aWztOps3K+cDkyNroAznglBjpfQ4iBJ5oP/NbbC4rGLsmzbeOBWaN/76wiQ
whzqhDex0r2lPrTJwSnaZ2TrzR74rEzQ6sX2SvqJvkPxxVlnVN3Fa5iVIcvFW6ho156dBKGd0OYu
5yigbTOSRCYmS8HpiXYsWQuyyw5xLQZI04UDS82KJ2g1+TyF0+F57bwoce4EotIvDQC0a2Rh0VmU
M4rHLmW+nTHR0YKGJJfFiOYfhkkynVSMrpDoaPdkZUO70QZ+emni1ilcU+3b1Ay/eYI/naQQ2DPl
2EdfFN42cGaIRBWgOqt8TW6pRmnKl1ry2NN73uZ55dx5lQOjhYi5pURptiWQIVqqebMDkIxeOnaH
237mA5kCAE/h1UiDfGx9JinozyID3pqXvODIvoDQ8EaDlLQwdVp6/hazh++NWq+hJDvTIy9ScOuE
WnDTxK1HPDpxuM7MfolUmW+lMp0vDQUp3ajI8E9pnwcjx7fc2xq+Ntw2TUJfkBCFty73tQfEED5K
XpBtK6k5//xOCUEy30edf9nBMoHtWKW4QPvQ7gN8f7fIFcdDDOx2rdlwt/O2llev6IaNhgb8s9mO
1ucO9ORnMKbjhZ3K2XC80lZjFGkrkkrCneszT5oCTX0iyjdnnoRziYTMATINT72xM4jatZQ3JJBs
9Bwkt6fq+GirQtBGwsaTtwhKC17EzUBC2ZG2RL7OvbjZZ2NjrkviCpeD0i0+YtcbD60xpje+FMFe
IEhMlj/e5UmK6eppFlM+TijHiXiui1vn/jpL3QCxDOpTRAZ5cqNX8G7JCHe+eD4i4sbXyYqQYC1X
aNX4+adqOoOjm84CLSVqYM/MMD0lIUugEJ9CLXpRyThcWBTGvVH6+Y2rpgliEOQfok3L8REIsW0T
GoClfkJxs3FFQlg0tnf6NG58A/McJZ5pJKgBMvuI0gLdPkMc+ublcIMigK2bvhv+9qrQTNT1mZuA
O1EzRV2Qe83e1O3JaEAZB1e+PKOvyMUyd/Pivi2GfNOy4FAD5S7mAMtobirUhUvVOh0agHQ6jz2p
wJX/oy8htJGQlFy7h0aMfx2VLBWzxUAs7Vg2gBvyaTY27SO6l4zlZFeZhFB0+bYRefqot7xOWTlR
VnuReNEDazxbGfYFq+/1F8L2DLDLIKeYh4ADC2s+TICzxmEa+umqEtc9OL01rmUzKkz4BuAVc+wg
QGaeg2Kv6QpWurw2p6vOjD1EU5kWM+POGe4ZfgbMK5Dan9pGwy3OH72NTVSWJIBW/q4mfHIb6ea0
Ry7pgOaMtvMd3bghjTnCHMKLmCKDCKgouzOGRK0LGefrqQy1LbhBND2mjR5jzGehiJFXd3h/RzTD
kXYM/O62xYHCELYCghxrbxJQ+kZY+RezZSaWEsR+4jaSVQqhj4IuqNVGStWvyX0wtnC0O0QRfnMk
3VC1kCB0d02FGB7KyQbAEY63xMgUy6R2slc3117ryb4ZsO5tjKHP5rqt2qNmBZg7RfcgmFE1SWaZ
rFZ0eLRuKXQrXwU+rgEvkV80aLbo/WccVlRX/kr2M2zEVM1Kl422J+abVFqXtg8jHoa4i9YgWwh3
+Hko/XOZk8eQEFW5JlKjgMhJaA4+vjh8CtrO3iVYHqfF2A4dsOqpuCtReDFZC3SM05kRHsPYKW/z
PCm/aAGjX3Z1tANa2b6WnevcuUKh3UwZeu7bbpwORuShwEGrsdNCzDEzft+6taSabmOIr3clhvl1
l5Ekv8TIkMEvcpw1RmfwJ6hvtimBrhsG7RzJ9TQ64JQZmRE0zL3UlB0F07EdthbbU6u+CFBIbCTN
peRY5y+U9+LrgG7hDCq80ZfKsItrV8XMZIyi7W/9iRCRZgy9bayF9aaRLZ9ilhHwPaM2UdUqfsUV
auEXK7SYeHQwMW4sZAzX3G6KTRuN6qujqK8YkYTGZZRe8xWDjXtIGAp+9keXVLMKgsujPu+Qjsho
0IUy3A153h7DSFrnMKubz3hB7B3W+P4AL6Y79tqYvDZW7EPyACqMA7Pxbzu3zL5lNfSRzhHWc02A
DkJwfDwHgQvxpJqQRByNAzbxkTlt4ajGCgmq1XowczdbJ75NakRE7/9SaONb0rnyi1G4OUPfSYLm
Syd42GkM85oAEmq8ia0wzMKWXK4BE++oWMniNCZZpEsXJUBCfl5228PIqYJ8d3OitypXQV1OK4TP
91oakRGL4TdglV/QuJGr3CPOJhHlZ2B9RBc5KeI1mokVBgwq423hOdl9kWTFqZlSY6+UTym1DrLR
D9CTJ6VstZ1Z91q247jkaG8jmDI0xkAgYMbJR2Kbcmg6rdxyikHkBiL/ITW15sSmmN5SKsbPgzCL
h7hKqi9lWw7uttTQXS9A4kYJnpg5ZpJoWIPDVJNfLVMAU66LaHhKlEOodat6xBtG+xb0sl+0tHdO
gyfzo0ll+5qXIOJHsD7AqZLLVMwxNrVJTElD7MOy56c6JV0JjQCBdUM6jAwuwN3owVsozNZS2tUZ
JZS/rBWIC77/b6AksAawp0HWRSnOcKiZDoRjtreJTpPBCtLwcVA1eQcjRl6RZ/61Ls3ixdTKJyuu
+ydrHO6m1qitjevQptfyXmzjamJlLzUTdUab3mEtx1wXhsxpbT1laOk79cYJW30zdeRn2bzx+BQK
axtimD4ZiTOyuKgWnyzBmrs4NoIXdDhk0bESIufXMIcFg3vPUYf9JPCyJz8jfrUMvM/WYPVHnf72
lr8FAv5QNXdWZH1zU0lEAqqAlwAx36ZL8Jrw3Mb47HlTv+0UKBsPfAXhXfGg6K/wUEzf/ex2oXUf
dQVOrzbig1VMUdCGdcsRqeDG1uxtY4bGLWeQRxbk5IbsI+dQVWjDmr5xEI7m/nPhJdMyVRB50SjE
F+Y7OLNQWyFcUFS3Q01kE+KM/FOOo4sKF1FIljX7Ro7Z1Y8059ZFOItDzzEuIuzM7yIAaFLEfblW
LSBvH87ODWK78JTaiX1nlbE389knUEpf4xw7V0hORcZyu+7KmcfdDPrV91sHQAxO4gLc5XbEY3HX
sOLOM8py7XmdvlVpex+0RMQOru4czKAYt02vnkIvd3cxEkDii5rhwEKq7TLT606Ucu4Bam1wqYMq
of4t8u8tukOGw035YlZx+bWWTUsoY1CFyUtBQqJ+FGXrH2XvEwOiRT0vW23cEzEwMOtktuVdolQF
zL8Qhw0LUwHf3lQk+HE0C5V3yUeV3ueZly8ye/S2YQRSvqSFde8YNVplyNI6Xuqlqkx10Kf+1bU5
NTDbzJYUVRySqm4EzJHE+yzyxAxV2mkM0w98/zYkF+cxC6iNLR+aE1VhuqLd8Vob8PvwXfrMQNlf
x74n7sJ5djmCDPF0spXOmDQF5+/SJtJaKV4tL+2PVoGu16lMGikJYKTAF7sOFfT30DHtW5gExrUe
vO8VqSyPAZ/eg2G4KlzZdVFFC08N/go61Zzmbhdb3Rta7IFVvgI9gCABZe7l40bo711Qw4PL6ngW
UkXIrO96rQ5msLzTGLwSyFUtOo1mXAT/L8uqLefxbPvx1ebm8C9mXjlf7Ye0HVSaM4PUfunsDvZA
neQq1FqBjY2J/4oyd1inQZmu/v2lEMODuLcNNC/vfcN67ZS0HwU3Bi79fogttoy4E2e9AfH08aXe
o20h2uLsdoG2zcp913v3DEVi62NqcqmcGfcpSZtk5zAZJlyFFkEVDNkWxMv4b5vkXNQQqPHpw9mG
9/6iduQDnSA3fTcmPEXD4r8cRcuOM6n1l/t7B6Wz5vvjg2aE4eJvAIDx66+WsPjDp9fUDvkas+LU
12IWNxnvE4OOJvnK1W05CjqI6RSe23QY/nL9+a14/9YYeCxI2ZXzjObdWzMGVhnqSUBAS6bRgM+5
QafqHz7+EeebeH8R05g9F/o8K3KNX29yEGwXjWeoXdPQunX7kCoicE3/khr6tJtGwFldC5apUBTJ
H1/6T++PaTjIyjyGN2Kegv38VXi2NYjAMNXcJCGR1LSBBMVzI9jVdCLdiYtFXxM2/vrjy/7p0zct
fPXzcAqf1mwc+WnMYtbE/LoRl3WrOD2IrHsAJUVmjMNb67m8vx9f7k/fPpB0qVuoFhHMvHvAgap0
AauEy9WNfV8Z1ZbDP45IwHN/WWV+WFp++y09WHucwCXwgPcPdJr++S2dqe1f6x/v5ui332BcIbKr
U3GmpaxvHTnpz0TIzehjWvEf3+6fXlrTkw5zZNNAcPP+o3HNhjQtXe1MN7CuNqbVcxmwxH58lT89
VH7CeXylM/j8MeT66Te0Bh9Nb8bS82MVQOjGKMIjDUVYcfmX3+9PN2QhaJ99SyYjxvlf5adLJUOb
AxvoWVD7CvN0Xzw5snj6+Hb+do13K2lkQ0Fho1Y7ki/OEyJAS2bXjy/xx5eD9w+XPq+i7f72cnix
7JXRqF1J7XoOWt04kPnKoKzroy+hxgpDfB5SIMWYBaOhvpe++bcV7fdPzwSszgiF78+jdfFuRbMI
zTC1wgPWKMDHNdj/l6C4qlOqxdU+Kb189fFN//5cuR754x51lCHc998eng9dgpWudlk+UKA44xUH
v/uXUuL3d9Fkho7RjdYuxrfZWvfzC+IFoplUklbYyoJZAVIgnS27E96uf8he/3cqCH/Tr983DhpT
Yp/DXWpa7rvXxKsjEmVGWexY2nKKlvpoju59qeLHjx/bH34m4VqwUfitWLmseeH+6ZV3yiwxPeUW
uynCLpM+axK5ZZIvI1jlH1/pd8yJ5JZ+utS75YIeleNn2F93befRuM+tYJH1WHgWg9e166qD9DzC
JNzCl/HVqrIIG9EBRH11OLKum8loUMC6DAhq2miZMmmAZ9aUHGwZl4cGzfgeVdV09lPOgVYFI78N
mBZxrmrWqdHERIB16XDpi5YO9tg66ZI2G1QBJ5r+cqOgv3777Ri427yPui1M+/1mB2JRMz2SdHdT
HTafvSzXL4JwmNFxoudsmi0xacr8NPW/qiEJiF5Ce4R8dO84oCmRgi9FheLdaB8yn4NRg80nLzKi
6OR58mksZUVSreukp98Yodn0VWwCwegL7Mcd8E0t1trlYBXWjtl2v2oaaeD1SuIVLTz3lFhoGWLi
B5cD6/XKC5CiuqTkWLydHk/LwKftTbX+4uKc/sum9Yd3DR65QMHBnkXJ/+5d87MOxx/E0d0UAx/t
hGfu+dUHItzIG5wtQv3u41fu94LHxL4Dwg30EASO9wVPVVh4IcqswLPRgKYgHWtd4WA+OWbZbH0Z
NKeQ1us9iJHgP+Dqf/P5Us3pM9JIYmF5//mqYOy0sHUIvozG8QtJ6eKpYt5zbwsnfvvXN4nAg9WI
Xgf/eV86MhflvDm2+S7rFFMR8EZIAGfUpxbnau/USSSXNQN2EGQGTfuPL/6HBZG6Cpqz/gOj956q
5BL4Ttspz3e1X0RI8/L7YAiQesT4Vf/tlax5kRKozjle2dCgflmo6AHVAfTTdGdI+Xkc835lSJKN
VWqa//o1pdxAMIUwitOH/h7FV4L6aYOuRUcvWiy2Do1XM77pextqf+J8+/e3hcOH+gbIFXKOdztK
EKVlbqWI9pHVmDutHOcwc+ggyxrjcf2XZ/j7B2jpcAfYuITNQPv99lWhDQmdNuPONOs+NLXP1SS/
xYN5H/TOX2qQ+Vv+df/iUhxLHW6NNd9+d1/QkKMx1xBimGW6NumVeqRXL9wUIfGUd8gWcUV8/CT/
fEWPUhQAHx/d++3FKl2J5SvZVaI7JF75XIzi3lRJtWhDJwXoZJw+vuDv776lU3jP2EaPrfP9N27X
nDsaDHQ7rW0PY9rtLCsBLa3/5TK/FzbzZTgamiipeZjzP/9ph+6kPkQRfzVSdUO711zoGvjWtPXH
N/P7UslV0I/DCYN8Sd3461VwXA3wmwVmdZOOFp2eZRq3393cucZVw0BdTv+bvfPorRxJs/Z/6T0b
QRM0i5nF5fXyPjM3hNKI3tvgr5+HqppG5pUgoWb3Ad+mgeoqXbpgMOJ9z3mOb6ryk1lyAXC+GSXL
xOFI0nuYLU+OCs2389j2pXtPQiQZM0w/Pvk088Xk0aWfC5rYLWJsAwqylUY+Yl8sy5CVdt1Uh4eM
PjL5GM79rGR96/Vpiry5YnGwLAtqPE1nyOLsB88Y7X2INPiTs3/3wSy0fJNJ3oOs8+ctQ5IQZXQ2
sj3V6WKTKC85ahN1zo8fzLujbGGDeiRIO2+WnLlV8xkJy2xfdA4Yj3LYi1S/d53us1XLe4/Cs1nb
Mg/hjz15FNIhRLKqCyaiqTIRsgTRYbLFtP34at6bgWyWAC6OYZtix5t7JowJ/XCKeIj8HoDuiyiG
OJ62zb4PCWiQjw/33s3jkkgacCAVgqn48xG5XWyDHuIVVWnwc7l3TWzf5E3w9PFh3nt5FnqfgySX
jcHpMJ7aFNV4ycuTxdK9TpVOiy2QP2m2lNsmlO6PMauSA9XC9pNP1Xtz3it8lsLRO5seSqcCIPGQ
7kMIWl2hPc9JuK2SxwqDOi/iJ0d7b8Cz7SEV02Jn+aZIlnGNDlkm6Z5sTWJwbAlB0Ui09cc3k9St
t5MCN9Ex+BzB1j3d8Hu9MWHlrNO924/iMY5EuYWhjx4tMYeM3pwzPmBGIx+57IarWhUp/h7H3EUu
ms5ZEQYpQ6jSeh1AjyNXcxv1ffLZ7nYJL3szc7kOO2zeTBPuycnr0gStkGOe87WZLNoEXf2sdwRU
oSprD7HjPsH0r3wHaDoxnVgg03FoD9iav0UoOsgp6I4VlrkDVSRvZSvMzF7EdXx8I9+5j/S0WYI6
DgAW1od/Dv7M4RziieU2hI+f1ax3W1Ehpgwy9Cvq+eNjvXM7CBzkxZZLoZZV95/HMnRAhPBmWdoH
+k9BwQGihHhuFQYixysW7rfdfbLCeOel03U6dqxo+GK9WWIPTaYmgja5vER+ieJQ8w1UO/Qxmnll
Gqp+qJuxXqPGGPb//FpxWXtLRYoF4ulMaYHpheXRlnv2ape1jTvabrIbqvFEkqTho3IBwXx8xPee
JLeWMgCkUI+p7OTu2nQbW6su95rAVw8wDlUCfJWbsfbyfW6zkf74eO9Mm1wgayiTDxuLxeV8flty
5AG25bjk1k5DSOfCasa1qEvifVHE/l8O5REK4wIWos5/8kGoHCvu8oItmu6VxTVkQIxmTmefxb2u
fzJ9vTdGTV6oxYewVPpPxuiAJK6YqQzs27y/76Pyl5T1PSDhZhWH9Q1wlu6ff32YIIRhSHizrBBP
HptOsnBptHOxnw08gcIZb5u+WVfUAT450DsTMyV1AeqEyrNleMvz/O15VfOIAixgC5iF8inEHujO
9f0nQ8LkN04W9H8c42RMeBohMpbFMRD06yswY9Wxla28NXo7WAXZ2HIXxbiSY4Ml2U7Ch3JsgLER
gbwj1Syl+NejhixiOr3gZMDzkLiKBzTbxyaxqQRDRDeGRw5NoYbga1CJYpe3iLPY3ULyGMLgEEmX
JoWYpmt8bGh1Qa/pt7OXI7Yq9Dbdlnnb7MQAUZwN1BReQRdjdViS9FYAr7yKJifaQSRXhww7I0li
UX4xgDsgS9q7j8u09bnDKQwN6qarCKHgHnEiQIlxrjZBH0nEwgTrlRZu+TFO+u3Ht/e9sWnpjqMz
ToirPJ0/7bolA8FmbCITfq6n7tnF92iZ2tbEwxpoIDU/Pt57bzhrbhZ7lO9pCJ28C5gOi9oMVbGH
L7nUnC5HIz2Q7/rJ4vVtW82iVkpji1omZTrv5DCEPUaw6D1SYkR6U1Vxg2bQ/VGnDzShLxCkQBcy
voVN8cmW6TRjinbeclyqtNxRNtenCzKvymt4nZKaSKnmLxFRMUTRW9oNRheRbdDMsMepZR5sunSo
1xkEZZrbpMHatTEcJCp/mYzawRS9ttUBixHWbgJjhvxDv5MOtpd8lzrUzHFCCpg6M/bvTrepvTjz
OtSDOyO1Wt+dJTkxXWKBIiFxaZNwPusuq37h+dCvCZ2CuDiN9RZHF/9/Pks/artk42gAO2pTfvYo
3nviNjEAjkcbjgeyPKrf5ohYtDIvUgJ7RPeMhXoxsYtdqmOW/nhkvTcX/Xac04XRUA1kMXnQSly5
4P2oN/jwpzcfH+S9D6JtOuxWYcvBIT75aojaqMoaY/6eppPrK9Iy2Yw/lWmEpr5Vn5jO3j0Y9Ur2
LB7uttNNhN0wGRUZ74oW2RCvy3k3WNUWBSha6i7+5Pa9NxHYlP35WmDZe7P4zZQy7QQVFb7r5sZo
HdvXA/WErfdXF6NZiOxP7qT+3rhYet5sYJEQOKd9mrmtMu4v67RkyiJcXoZ+JHFwPBAXDivS1KK9
VdUd9mXPvI1FEO1ViKkhLGO4UaFLyiZgoAcHSxD2jCDEZv/xk3739JgQKSNRv/VOJ8ZxClotjVjm
jHX1y/TCx8gY7jITHcn/4ThYVjG6INp4szhoB01FFXq8PTvRimpO91wobVyXffPJh/S9ZSvFKUQb
Yvkf5+Q9NEcPBwfay32HZyRqkbiOxU1TSuil+hURHvd55n1SqHhvAP92yNMFazIDISqlyPfA7Xew
hX95sHjCwD425fDJnuNNBvIy87IjpUnG8pG98Mm+qBsh8M6TkzPNGOpbF1UvI9QZHyaO61O+DX2t
0mLI9YLgcCgJu1DTF2Vmg+gPis8TURPRU1C77b43cCzgasNnFHXNHdFzUBKKLIPw0rrbyRndR1cy
a5LC1yKY0toJGuJS2iyNFzESkOsAtZoqgQu7v0SKU21A0v6K3WFc5cqMN32ujLsK0TUfe0N+Mpre
e4u9xalLiYNxe9qAzbKqJTCuYuVXzYe5m/VVJ6wnWckzaqYkA4L1+Hj4vveIF2cWQhmHYuvpba8S
PVQ1i6F9XHsEWlV9AyGS3e/aBPsYrAC1ZY8fH/FVO3GyIEQxY3CBvC5sM0+edKiBN7HdLN/b+ez5
0djbd1akD35hkusLiCB7rAwiRxML5eSrXcCNuuwx74kLBebl7bSRLMJPbsM7953FxmKB9jAGvtny
erZyyfEys33qhdYmapR9UUQsG1VStk9JoxPo7ETfP7kR7xQxUSVQ9VlmbQItjT+/rOEkZ5gJvNHt
HCBlNWE0IUg1t23QLFQpG5KKLVFOymzjhU3kK3oyOC8sff3xiZjvzJWLLxw5hs42xzot7wukEXZO
IDG+5YT46VdfQ2xm8w3a6kKecWecQ5egRsZiBRowo4isazl9VFJyhuvRHMVWqUB8iSwW3kY3iy8s
iwuoNgwpHFNE+k2e3CHJ/0UMzIope9hYdhJt0Apb6wak4z6ya2czRb2zdsMzo0zNu9QspiteW0xo
ihfhKXJ775gJ56voVfrJxvy966cDhgfdWTr0p4Ujym1J1nYm15+l012ELG0/2ZDIYl2Lth/f6/cO
hfAarQFudD4bJwsQmk51DXo+33ukCq2r2l3cfBMR2V6UhU8fH+v1uZ2+aUv112T3ymfwdPtfaHbW
j3nM5mCQAQlGNIwxe82WviPHeFgXMELP9FIE191kjJeGoYU3RgcdyTKzalcVJIq/ntDfgITrvw79
l/P/PzyFk3/87/sSRXn+J2ThlR3wn7/474v4R1O25Uv34X/1/xS+AX7Cb89uAUT8DX5YCBT/9a/z
so/b+LmgePYXD+Lw87/+xYNb/up/Ycruv5fPI35iih0OZS9mi78RDp71bzT7LtOIu+wAX0v9fzMc
TEANrD8F1WUqXWBxmfj+ZjgY/CBDgjFPjYFulPePgsjMZeD+NtYo+5gWKs9l96QT3366HMSUMfZA
TZuDhALO7J1o+q2IsH25Q1xtyzpxu5WsHPG91Zzg3ok8fJp5EUA0iYNjS5iC72QOBkNBrjTh8cwj
g84M40I2vHcrUCdOVJEcX4rO8/UIV6deaP2vpDHwBERh9mgZhDu+GhsBhwcEgFrRkkLtDOtF9uzr
oWjGXZcvlIma8Nm+6KdPljAnn1LugIUfZ1kML4oBart/TucJyRek/lTVgdyO6ZqUXBYpqveYELvl
ujjv34bI3y/TH/k/b+44qwRToKylP8F29aRKBA9RTGGaVodRa7C0hRmK/nHw4wBz58dHOvk6LleG
LgpWtu7C3n6jpJsJTkSRYmcELCOhMZJEEcshtZ1rBvHdYGTWTkVJcPvxQU9myteD0uBjWc1gogez
/Pvf9p2JMNoxJ8rj0Nv4EeksNmCQgHnLdT8tooR/fjTaBuxY0DLZb5rAoeeOcQFB+QCNWKYXRZPP
ABIITL7qM++TlfypzG65NDqXy8qaT87yzf3z0tDuZFGeivhQR1NGyGxEMNKa78KC89IJQFbRdNU3
PRltbTrs58zpqk3cYqX4p9e86HkX4TJcOOeNVCzTW0flPRTkGi0GqQWtwksTBsG9Z1el+ORgb8eQ
FJSi2Q0jNqHWeLLqa2qA6B2o1kOlz/NN6TYt5Cbe4Cqq0uigXr2QToHD7pPjvh1GUGrspepu26yZ
TlUuaZiMcNfpohXYHEg44WmOZs8WoYj75J8dC4YOv09LXzCp0hM//bhbsTbqQwRvOSYcCcuNctIV
/E51FqrRfPj44Z3Mt6/HojzMrXSxONN7/XMMJXlnaw1BGAdQBKO+LoleOGaxOXy2ODytxC3XJCl7
ezaTDMPV+PM46N3axi6n+BAIOSREQ4CwXVmqIP91MOVdFMc5Qrymw804A0ULNsTWRBcfX+vJ2Fmu
FZ4RE51Oc88Wp2NnUHoa17LjHACZkjY0QJWC9hdeBGDTjyXEACrHpvpkPn+9hb990pbDIgLjwtGi
8g09LRYNoU1URuDEhwiZ6xNssPxIAUtdVmQ27hqzKvA2abiDX8vGjg9kSA2H0S6mnzpUzAZXppcf
04AwgXDJ1wzigP9BwvZJP+u985Q8GHTHrA5QQ5y8WqkEYzg7mrZHDGJ/V6q3Gn+oM49HRBSATXhk
Ak0a1JrjEGkyphdiwOy9MosgOPRpaZ15nRegcnPNS0+zW2drD1GZYDD0nGH38ZN8O2qX3RVOAiIf
CN45PVXhgWRrMSEecg/7t5+G7pQSBNN2m4+Pc/LW8+jQs/HIqMcs5ZLTb2OsGdwUrY0P5VjiYI9n
KAdFWsqF9i/vPj7W6XT+ejAHsR5fR0nw4GmZRLn0Myxapoe6bFCSuMGwJhYZIzKvCinVVehTr1Vn
ej85cIiKcIeXvfvkxqJoW97EP4crYRvUNTwEpCanc/JVyZoKomZtBHunHxt1cDKDybTzJrOC0F/N
N0Siiu8ygpkQxz0mdFVFlFXiOG3A8eZCnrXhEBy9vlfXeCDxmbdY1RpQrV0f+wb81IssWjzncW3c
zpkZvAxQYh7pxMwXc9bg//TqBhdyPQHkyIF4DI1gwm3z0biVPRQKoLNi31EEOo8KS/VrUcWLLAnf
ugoDtp0Z6V1XOby55yxQ4vussYxrEbYB1J+K4CV3NVkdCwr086oYqgCRrG615M5FVANMZ+nsaFjW
xaqoDfjoXqD/wBJmPoymif99Csi28Fs8AS/Z0FnjOidtItq0bhJdhCZvtiWZWvRmiL+DxFlYlaF8
CZGFGX4BD0kj20a4IR0cL+y3IrKt3WgJFkOFM7U/Xac3NkVSO1/demzcW+pVjDfe/jDdpqXH4auq
0W5cyrJLQFXvfJ2xqq8nig0XQH2MTSuxQISKRu6mjseWwPsFI8EWUV3wncke61qBOlluL4yBbmMU
kbhBsh6lx3J2sugQ6KFtHg2RR3BmvRxRNAxqYvteZ6teV2dNNy/qSn3SvkE+Z0SWYtIF8EwqG31c
ce+UdOPWb4SI7glVsJ56IC90xkNRXJspUBnqMfzOGMXRhd1VIdRHB2iDoGCPkLhR4c6bQU+tyO2Q
d0lomg9uMTToryiNHnPTiL9Dgza2egO7PpG1lq14aYBlAtSabyBNTwRrp810TR9uuooVCa9QafT4
W4ZS7jDNevaIUsBCEbiMw3wsgyOU1BF3Z4RWZz1POgsYIKPzthgyxpKTdzN5KooSVsDWS61e6Se5
1EjhnHPWOX0EVcJPuACs9eAi8AEzwDaijarnCG/KHk4qo1cSP3LdBNGE+Dxix2DLUru3o5Qb9opm
CLUMn6RLgWYm9Yzg5Omq1LIa7jLRieE4lxvYR9JXWtnchCQdH4TbFGckUVp+nGfxGoOmuNBNiCZ9
LWz8MESUhJ2zAUefPtd2kV4ojuYHgQQAOTu7FFaNXxfBtBNxYn51IWquKqTvolQdmZq9uRbaNAMB
IlBAJw15601l7tPwyFKfu2o8wqO+isMCMonubfEhm1uKaeURZQbRlRrm7jQfvVWdc1lZ6jZ+lKYZ
ZHIspPiayRCV1tfGac2LMI+vmqlzgcab03pQpGzwwTG3so4f7AA9OtQO44zSlS/6VPpVV4w7wnaE
D3ISh/0sbMKEKfrHXnTbRuq7VxnPVQ8JKdFyc61si8jGeTAOJKB8wUQcYGVAEOqriQZU0FfGt9y0
jjOC1dVgxJeRjWc2tez7YQjOiPcIv3RETG8iHNnHKMuZgK1ljZQb6tKOTfOim9v6Ro+z9qgNMiXy
wz7HNK7INbHyxGm9dJlEwvYXuLJqD3knAdgdDEG9UqGZHPXSgrESaKFz3suMEyozyyRcWBnzg5wt
E2p1hoaoGwzvrNP1+oqFkkV2Bc1aEjxE9kC6SPjQG2K8U+WSDVK2lRuuqmFWFzQFzc3idthaaYfG
No+bA2Tq6RAh2eCgrKKxrYtbV47jrTMqtTHnvt8s3x8Jd6kiWyYG7XLddiSsObxpoF5JIzVWRgpD
DCjsPlzgekVa2FDkhBMzFRWwky34Fisn9Jx9lbD16Rl/yCFVsfVmQXDYSOcKDreRX0EceXSyuV7r
YzwsSS9u4ocZrI91Z6dWsoU1lZ9piL22RZLKa9FPGNydPnzqknA8M/tp3cXBeEzGHrAoEFfvm5lM
bbCSpBTFPjlLMDS8JjqaNev2lTFS0Z+xzlewc4suWTuZdpOpxtnkqvlSlC7BGnk3fO2twn3paBsr
yvq6cW/k0nkCieLNOyGX6IZ+nOCS9azHiqneV/PsXU5abd80GbGfwDwqX+tqZ88O2tt7kw4Fr9L7
5ldFq21TjYk61p154cAZuvCCZsxwkoGjll7BEqZwdjD/vJssqIFHBGZgsvlPIosyRaPfa7FG9QGK
/JGH6t0hWpzXfIShyRTaYP2YZtHeOJ1G1aAuWkjZINpdmyFgJ680+FDuRkfLtrbbDcgeYushVW15
jSoV/FmgJ4cgqY0L7mC8NjHj10Og7wYpGdhecWFTPvCD3DOuwzqTe6ISzfMlBmHVQEa5C2Str3N3
LHeZmKttNrfuc99xSUw0tT+0JKbCaAL7voJjAbZrKIyMrAsoTSENu8dCTOZlL9zySswBy37PLIkT
aTEPbFSK7HZFNFS2y9LC+SpTmyJOWYdnkybdcg2+LjsoWFa/Orbj55059jedpU0uhHeaOdDwC77p
hIU0S8ybvGTHTvR6Tux4MOjlMdMVrYChA9OT5Nl1ZcvuyoWQvDfrNoLt7rnkZc3NYXQLbYWtgZiW
egoukp78cysc8u9pQRTlBi9Z/YQ3uN7adpK+eDKPA79yyLelpU8tKcmaR6eFjMhPbxo8IRnQw9kg
kTGYh2dBviOwIK3FPgQjO+XjKjofxpJcGFz9Gd3X2Bcl0cayjzdpbvwYNa8iLL0CXEK2GVkUuOov
yEItvztozSD4oIh0Mblfk2Y375QE4EyKaXdNubz9nsBHOiY15fCMSaBJw84f4Hik8gFkGFiiHzY2
bwu2B9D2l0hTtd/FbRbxYncF26ROe6ntCAgNMReX8Sj7B0B+w3erid2vYe81Bbowj3zTScyu5LOn
ADzlPhURmtcgfY/gALxwk9vDk+r0+BKKZb2GfgecJ6mXGNgx1X1WUaRHG8pBrFBT1TDq4CBLghw4
q27aW0UiLqwxztYZFiRwNIZSuZ/1PaomJieoJ3pST3s9GLsjcShVv+6QwTKdQUm/g0AHwm6SRn+Q
3sRnRKc6xLgk4tAn8Eq7jzNPwOcpeW58FHamWJSScwwah73REjWZrQst5y40bvwNyglDmYqSuIic
yihWjtFMewSDwSMATPNZMyrtxbD78TxwVXgvC8jOesnPTtbkPegFvCHCc5pvQWXFLCcBvBFn/MDC
GF0IASGo+epb23wMCcClecH0SiuNQZU/CkloCBEkt84AsS0B1edjEiBgirSRpuiALKQiX00sTtaO
Q46FXpDH5bLHhsBulb43xd/TzIhI4GCfjD2hK/lUhiivNWPb2+Ovbia8g708kVeN4W1T2k5+mttH
o82lr2PxARDRgwyBZICcX1s7AcNZQG09UxKe9aw/z/SywQuCdEEJma7yXJHS0cXTXW0bEdYyN7xI
iuFFq2De1DNAcXsASx1T2N20VLOOcYMyyxOUB+CbKt7npt9V0YLT63RvxR6frw4LITBdpQXpPa63
ORLFc9FNyXmqT7vUDhfeSDT5aLEIHRmnq9EWkFutyd7LBj6UyCH8twTjZD2USby2wfWkA2fvMsLt
3K791TUaDMNFbqHbMZHCtfetUVq+bZD4EuJG7WDGuZqM7Q1G0+fYtiDRRop1CiCNvD3mWv11zOer
Pg2OXWk/VE1wwZRLwSiLCZls5pekDh8BDd86RrGrWE37RZI9eyIed3NKkdLpvO+6FC3s0LBfe5ou
H8osbkhCMr5Pns7CChQxwV7GIbPBRuFAA6lSnU2RA+MmtH/kA2YFI6eqvZIaO4Jw7Pun2Zx/TEN8
sJOeBG8ng/uuPBU+CdxNKB8bF/JZQ1ydgvcTl7G50+fNUMMDGiZa4l10LusHYIH9fe3W3iZq4zsH
7/wenm/qN/XQf9GMxt0QWkCyAXuY875vtH0zJctrrsRRmrHzBUJiQTpnbbvrNiIpKkbDekUm+7Kd
cLxo2pWjzhKawGdyanR7Pu8GqTXbKJ9uJRqvn8ImivSoVRkFHVhPLYRWYzBG84wo4UXVX8MGvs6M
Zvk9o06TZ0XReaRwoQfdIaQL6W2dMSVLl6qmlXQrkWT6Vm/DqATQKse9Y8JguSSQz4nXLRk1xMJ4
FE3tdmTL+coZ7I3gqxumACRhCjK60Wws7EyXjQjGrgw0vluyLQoZ9tBNmF6oMy09DVX2wddXW2ig
1ewxFotIEs/TZc037tGtA3WhWZJdcgy9rVO1LS4TTcbDBpfKfAMahmkJIpHpF/qyO9HjafiVzMZ4
ldhKPyfHad4S0JIeIxCMX8Nco8gdWg4o11Z2SKAbdiIA5wRpGpB9L7poWLa8Xge6LZJV+4Qpm6VD
puHbBw3ZHFjb89OaXWibqGSDTtZtCMBTh60oRrv7ZmfEwcUNy7+VFVXXJC/4qT4Uh1ew5ULlPRgp
jr+4NcHQRZKiQMsm3+0dagRLp+b1eENlaRtV2s0hsCGksk8Ydii98y+v/4lHINGtsNn2lw49e3w8
894wU1CeeccebGpA9dH+Aj5Dytn6L6KoOxf2nZdyM+krg0CJunr7Wiiusok2yoQuo0+pG2d5XAkS
DyCIaR6nmBOfcrRnaJJ2LtsnQhW4gDjh0TKPzDcthZdrFN76l7yHNcval8ZmgPL10Mhiuk4n1ruz
Fgl4Zj0GokopVEuC67JyauGVZNtXD1FV+lIl9Y6lGnv7vs+cZj2kwQjfa6YqQvGSyYCwDcKKG2+N
gVTiVg9EnjP+xayde2VY4bLQ4p0AtBO57nzmNU1rrHRAXJRkapKPl2g/GKzpOFrnWd2JS6mPkow5
aIAw6yhekR9yfB13WgwqFd8LnMwZcUTW0KyPOsLiVsOkLecXVcGLBoGVogjbrJusX+5JBtbT0flH
ntV0WToDt40ipW/p1XzxClEtl1Jc2xczOWvBePWqBCnLeN7aFiOgswS/7Q3LDy4MytCgwe9Fg7uu
MsLSO6dCOVM44ksu+BMSSZqDUyz/tuy4WzpsWeWTFqMuBn5oo+bGk2souggHdGkl67RL8aG2jPsI
rPe57lBnXb8WnnTNCF5m3aKolDCazJkfTSatfKaUWJgEghnDQwfR5vyVSjpEQfkcRGK6VtAMq5UW
8QpbZk9vcuyCY1Dp5XMKaePg1RMwSNUOmcADnUFmZnPAFRbIV/pVEIak7bmLndkrYuOcfUvz1HnL
7c1FtiSxcJsIWjFuAUAlrLQ4caOFaZnPefVM9heHnvp2OGadCg6omhiQvau1z7OC6i2oyHU1f+c1
cXrG5Pu9ly0BW3rM1qOrfpBU5vmwbt1dOzSQ1vEj7Lou4GWfeAODXhFOudBKu4ZEjLAES2tSAoeK
jQq6GYGE4RaZdTjnhn5VmHYA78nkzDt2PnJdMB3usGFS/KAt6q7lMgrGitKcrCQlBfRJgw+WnD3h
iD3uaDuz+B4KSLy0IrWSwO2Kd7psZLAu2Z1ue8H86FncqdAOtfuZDcGLE1RcsNctY7ARipEnq+AY
h1CLWQcAU9Gc3iUO1WHb58JL++Xa7JN9NhjTl1cG3DS4dKFaFuQNpVSEsBHLCr6MVVKf6+1QXEZj
19+DpXd/VoMVvMTl5B1h9ZI/gS11vLJiRLJKOiDUvIIRMHgwARJSAhB9NmYTrJ2SAvc6gw2p/io/
/3+hw72qkCs8/0Q0sib+p4l/dL9LFgy8OjRv/pOZ8EbocPHM+u+5+PnOH/2tc3DkImZYHPAC3Twu
CBpb/xtV4RH/TDMKEzerYnKL/hNVYXr/dugsuqxsF43y71EVpvPvpc+qI5lwLIfyuPmvfxBVcdLj
5/AMcJYXeMnhhbyBdBWC5IE8Skl4CHVSkoPBKs4xrquHXJ9gwYbys7yHNw0T2CQU86n2c+ZvrXPU
DaJOm221J/mouRHaAMTYHuNPugdvmnxc0qJZQMqLBuyNCrCTLXVXGU171YF1HY2pvknLBi2BY1Ub
oY3ZSm/x8lh1ot22ozM9/DYG3lMyoDU56V0sfixj6fG5Bjf5TZexV0yXyiHXNrOziQJaNG8zh2/y
ABHifDKi5jiBI2x3AB8pgxGeFyxVDHLb/JZ57I5CkE6KNts13AFRzHJJh73qzmO6VUbKfwvmNs99
M9PmYTVVUNBZ9rVMkrAF1QsWivTWTFwqgXBXCeKTzLCOXVOykfUXsOlqt7QP4lUV6gprR42Ia0Xv
cN6LetLvgQ9Vlw1b4Hv2PKCjTUIxRrutnt08JwCyLQf1QkocH+wiGx6zvlC7NpkK0m/IZgBB7Or+
WBrFeRQIfH7kBH9FrcIfjlPsnZP0TWSUbQe33kBVez20lSgP3Koi90NEIbof0CM2dwbNG2ZzpyWk
Aw7vvSoVs+tURlcSBCX+Ew+aDl8DQKJO3NyU2WCG+GihUSadw4bKBoEym1OM4yIf1wg7mmPaG/UN
67XgOPfOtLNrPTvU8FQ2utkNjwkbsUcCje07no6xAf1BD8Sg4NvbU/1DlUhRQgdZJwGk6gFCV/m1
FzNPpkZYtreXHBFn5MNmdoV3butavCf3Vr2MgIAfRMOfKNG0TzYkyvNgCq0DcGL9vqdI9ZR0Y3E+
laV3nhPMyQYqqa2Ewi2Y0pXdz+RyI6PdtFWQEfU4GBtKaultZUdgPWmTkPdQNj+sgH8MU0RNfkgA
RLin+ARV0+rrH1PL6+xqndrZcZ8dSpeHq5xqXE89wcfr1oRktxE2wpQK+jYfVArIDsWrnaYH6W0I
q4hiXVRforqQ1MTD4VcqFF0piOKYhIRg0tDLb/FUD4/4OucLrx74KTNSuypHpKdPXLE3auTepcvL
rtVkIoZioOLItdhW4tHTI/NxgJuar4aoGH7RHVc7FRsWGW08iQBKzoosSbXO2T7mfOB67iv5g89U
KSXBdEFCsXZiCUmLNwhubRHUP3DZzxfFGKkHA8XgjsoqtOWmTrfU4rqf5Nzp9zEf1DVSK/YqGve2
DXmOSb/c6mWIZgV7GtVw9TNAV/K/Zp6EZQPLtHTGfwOH42sWOsExa9Ovo9b2NBKb/Cp0X9h4s/yK
tdyOcALkxiFq5TdB+eGLAZ3zMTQYmytDI9PNAP+8tqzsmxU4A7VDp6IXLxmUy5JoinhQkOO7bVBb
1VVFg+CKjFd51atAvy/itvpK4HH5DTovo9Vhy9UYQfnNBJl5lhA8cTe5SwNAS1h3ucVYPocsTeAZ
meTfeY2Xrl8vzo14CVoyJG8nVRUkiMXJfIEdrX2i9JneqpIG5wrXWUbNVwennyW5b4+CXPvScACu
B1O8AwePOCCzxZJRmvbO0sSqv+gxRHOiERwAmYZZX3Y2BHvjyU09PbW/DmUxdj/ipre+xqBn03A/
mHNhwZOatWIDUWgkfa4eA3kcQ7O3boHPgyG3JvWgu+xnSpsM7pUuJ/hI5HdtGYeSkgnKQLoPU8fU
1BeXfUmfAASyd7S09LoTrXZD1N6tJvtLK6/yLZBceTOzaVpJh9pvI0NqyMElBRPaTpiZ9qExR4fc
SB9apFabfmmC9Jb6Hrt0JK2h/5lGRn7QivAHEoXoEM0YXwu9r87LfCBbXg4TpdWw+6kD1t6EcXs2
dXWwBaumH6c59dY6dX8/c0jrDYFXX1ozbHRqqoPyG3ZIpEAftbQipT2ri3lVeUF9QCIAjk2bqIcJ
IJB5nGK+Iu36JaxmeleYpajdt5byPau4VYUTb4xc884SYkou8CKOoHl5YWHb62exAsjXe26I4IYH
aeiDOAhK+PvcYVdTdaa7KUfN8Ck/8loWS5aLgMhkaLk4G2Xs7ftQvzPzwGMr5bTnJN2Z2cbg3v9o
q3G0fYn+HkTTzDNEYd0Ne5jlKDH0kYZtQD2GYDa/MEQPrMrTqbB65OPJwK7XKmh/mOXY70IZ8s3j
A+5uQWaTZWlAsEoKu75Fq6iv9C5tt+BpIqK+UyIePXf65iLpWY1mOpH1uTBUszT9Co61dMinttWO
ZiF1JsdmW4fgAozGYJmsEE1MryiTtlYvTeeAocoQa8UkQupDWhntquK9urCytjqjr0rAhyGMA3CI
dm1GEW9Vu2FjVa8KnCUrqsnyWNnN9DCPZuI3S0gDbtv9mK3NQSspBNvzc5UJeYB1Pt9Xyf+wd15L
chtZGn4iKODNLVC+qi3b3yCaTRLeJFwm8PT7oSVtDKldKXQ/MXuhWQ1Z3Sggcc5v24begT44qMUJ
jtUYz7dZYS2bKR7FqahaO3LNklhbt6DeXSYFxJhl33k9Xjp6M4lXSDoi3/XW3wltwky6UtbSseYN
Ssv8xXNpuPb1mcbJeCZ+OqAoXFDXAixX3VGnyrucdeOYZbQ7h0REbRItCZ6oEzL2ZcYd71pNevQn
FW8DGdtXDRYnyBOp3SM28K8NscynVSRawpIHFLoIt6u+24m4JmfRuwSKgL/IlhLItyQgB/otLa7a
fjGOLbZSatFTtzuXS2y9jrk326HnSHLITFn253SG1YtyI9e/t0QmlxubABa10XN9Oi5CBFFbad1+
NErnVVJlDmFeZPnFHpL+o7JyFwq6t6fVauwXufNqrhVmkrBkssKbGmBOU3Wx81Jn+trkRhMNpVzn
glbckS1cbkglpPTXn6rsrKk1oIwI9tzj9qvSI0GB3SUQfUOLrwJtC2XjZCSx+3Ef5Vnj3MxmnB2W
tG6/mi27MRzjTG+2NrH4rSNSTuP95lOlkDt9fQlMyHS/bodvPiRiiykUr8BOL3peOMSczT8wDAA3
zFp838Kk8gwgv7h4sd7Gm8RZ1800qyBpWudmoWfjXmva9jWYMitdqzQLstSxvEYVQ166sV3VflXt
iI03JVWCdgPezuS/idPvw5fITOOBVPz+W0tTmb8xnZTfz6hW24yaZ3PLGOp+UYVgLFsHRho8JrvY
5KlZHtFp1ZeSiouDrfdoURrJYdzldK5WLbTJJnV6Xu5B1Wj3dRKMT5lpJTdJxaRRO257nSyfP0Ug
Xixt7W+JhVgPZYQNPwZK0iDVPcaTgD7NW47B+pvVusj9NfRsvLXR+FC4zBJedfw4a7nGPjW08SnN
ADVCQ2h+DcbezfukcuezPqEjScdJbpI1+Lph2HoFcq6ifl7HX2JSX71BlfSu8CvgYCFhplLzDxIV
s71aKJ+uKQ8H8JRoMGiB1CHLW6skHTcQ/ySD+792iFUgyL5EAAEn0M9KRQiPokkSbTgkmilOMV61
dRz26kjkoqN6aB3vLeFvJr6Yt37uSMeXNRd7HJx/WmiMVWv1kxaLfWb9SRBsAGj9JfZ4bKymAqcY
DnbG5B+RterceO5gbpOB2pzZZiBMA67skIBSeQn5cnnv0KgwNG9JXHNj1pY49dY0n2vZihea3+0b
6q/Uo2Ti3v399vUXQ9ZqXVxDZ1F5EkPzl7hkbCqFN2lWf9CyVcbQg8LOLQ+abuTpjTZy1/Eq4gYz
Ju54WpGIV+Q9tTLpzXveMjd7MJ7/IPn81HT+fAUtB1MpRlafxf0v5tmEfHQzyAg2rioLNpFwhjX8
exSXRWrTvuvGdMPRvGxnHDWw7iMTVN6yvHrp+pgSbXOfS1ucyI5E4RQ7zbc2K707301IdR9onIu1
rhGhGCh7/fvLiWnsL18+ankf8IKl2lpd8j/fiM6oIVWZSYNVpNxHs5e1+VZUwbxrkK9wLYmgC1LL
+4EKczqgukx2mmG+k0b5TAmRhauecUlzZLIZ26q5mjrTfp1aGkSyxSrOul5ZbyahVorM3LaezpR1
+EDwRrHRbVDXDAB7X3GUHJKAVjndSEnHVxXzalkFFwZI6AtlzWeCOiTWCILqmvWEMe1Ru58SFGYa
iBliu0QnObu2bUqye85Y10b+38sGOf7IAQbCyszOssxekhT8jxY8ITUVrxUn8eesrupF3NUE1HGm
0CewsSkiewnA50Nbz3D8wQVsTRW31wVZIpd8hFaZkN+R/59OT6u4lzhJxyzfOgvt4GkoF2+6iFgm
XKQMYYim+kFtnaRI9WhsrbikqMLKR5weNBhqPR3ORE6YT01MM10vLDpRPHcpk2PBSLOJl/X/ETPQ
xxu9x3YTxRnJVhMBQL55xsrdU5NgqZa3MTM9vd7UT8cAylOY1EGzVRzClL0pRnkPFR1dogz5rNP6
ge2bI9a3+2edjpUISN2JegfxV1QFQOyqY3HzU7v9OudjseuyIduPE9OVXkjuSBiMYZPW7vg0ZOWb
17E/ImxrX31ZWtmmm1e9zXrtgrWz4bQsq0nGSbV7Ciyso8GL466wpmwfE1xVR74zUK2O2uJdoT57
t2eD2dAsTfp4Fd+nNfjdLZuof5mFTkuNZOl3y7p/rlHHPStqO4664jQa1t2uToMyStHZyMheSgXL
WMpxZ1BtfaRyiq2l9izKsTPvrrK68Uk3kDSCyTfvTt/Bd9hsWK3B9rzp6oU3wNAY/bOZAygJUbbX
0HV0TsQ2p8kQ1zhP/YHNKLZtmgMaZ+EZ6ZE4GKEy+JeDvoiPplZclWpBRMh2GDqZvRwIDBAn0QpQ
OROVZqiC9RWaVhyXzuwBAFWmeCHzzb8YEpiFVsTgkhhtd8pmr764CRcOc/W8r3XTiRq/np7wfLPe
yznb+ysChCW7va4K8CEvY03Gfb38gHVMlm3mL+1r4Va3k/Lar/CPrNu6k+BQshEXyhQrvs1fWmvr
4Lz+1MpetVw+STld1GBwvsyWxHmyPqpqPd/1opAb1AvtmyMU3apdldNbotO/Ok4ZyMi6vGZKZ4FP
lS3udBqWJT0YjCKf7+K2Tmqi6BNzPhfE5yAC6SS4jgUXCrDKb0e59XlJoAzUBLr2eRtCnjBIJLXQ
D2rU6JxKQDysfhZ3n4hPbXH7ELpbRi51WegD2YJpyMoOpc1AVWLovoyxSxLFCg9oicZlIH/OiwAc
ufQrkLdk1AUWaPcjmaY/Oh+t28LjVkdqThhG5NpT6iegV3qrinvRkvUCOVkEa6+kQ2QX3KUYqdKi
xIuvOJF0wCvqE0MCCkxAnIVHkPQIILgYnTHQDpXX6AmbbZBzC0JsGnJbU4wZJapyqEyjK5CBR+8A
vnCPY24FEaSpTLwslg1Q5gxSfNCJgDRXH+bHGq9VGJtdedRWcAU5H8caGz3M6IrUrBR56DNqoFda
Mv6mygTsEfSpU2PHx3/iN58vSVWA3dZNaiNs1L7r+rKOy57G11dWDEuiJ0nm91sTSc2utYGG6saI
73WjrC9tYxYb4dj+BZmDeGkMxnTobzA1csrqiyQ782ay2bRglwYOd83svxHO27yphGGn00VwkR7n
bCNTLmHqYFHQKUylv6QYDYKBK6Acl/F8gGO7rPez6NZjmITWHt18CSIZZB4zb9Hxx3mJzucMQ+BD
uqLezCXrW4AF7c3wuSXsZey/jQIiLjXi5MZDgI74d71/aGmidgkcsnT5deIV/focb/0AhJRaq+K+
khMoErLEjUvuzcPnu8EYgIBRn6Q3Hkc+uBMg6qQ59o2XaA6vChn4FxEwhoi5MB/Qv09RUEFiudgN
jjbrcJS6ufHQuhZ5QyNfJF0DaNBKvb5QqFtfHJMhtlq/g5Tx8LUn3anddUvDcC4NTjN0Y0+zZExu
C/A5vSnNB6T8HLacYy9N77ev+OOgaXFSR5+Q4DQAWvp02Z2SOpWwlYyfPadJG7HmFLvV+LATjWI4
GVh2Kh5sCnQsUNCm5KGY9al5K00NgFqCGVtZzKowMDhbriDAFnB5y8uem+fzmFUeVwPkCJ13YyfP
bPVzG85mte4TSN5PqrNQMQPaPLYeU7u2SCCLqZ+4mDrHWzrxHBVI0p51d2rZ8SzuNU2P75UELzNL
VWXH2nbESbYlIOJ6VJJMa267wipuFp+qpNLNHFAv5LuWCHg/pEAmPJMd6DTpk6vKzTAeLOGN371V
uzzwo6OwLXhws4AlBPa4/UovHiOH6JfymNc8ZFmbpTcIz9+myeGqYXCxjqaf8qhMBddgKHW2oUmK
F6aS3A5HBdkbUosUMLeMTnYNr8whKxGVPDVNzAQ5T/NmGvnCZ5+g0MIEUv/8r58P5lzlvGI0NJ8f
juSditfUPtbLoG6p4J13VZpnyFsaHuiMqTLxHA4ZTNXJjd16ZEksTrZcte7CRia9mTbs4sdoL42L
0oYF9hMoXqWENnW+93KdAmYlWMkQKY97gAR+Y4lhI6dEx7df0Q2lm2VlYgYAle3oQLeGBZqs0xAP
fwQ6/Zeq/Ceqkrgz3NX/P1V5U5TvaVO9/0RV/v6H/qAq8V1TSWZgdiYVifSIAPLuD6rS0DFew2Hi
8gTdwuHJv/rTku2t/2ZN5sdeBoX5hx0bpzapRA6dHKZNhiXu0H/DU5LI9fMSYqC3Xf3eNCiQ/ccI
/csS0k2FXyvXECd70NTGsssdsqGBWLDBv3PSOm0QUiZaHQ4QU8626NxRg6Vx8m+Ec5hNHyoNkTBa
4AoNAqXmmtU9jLMoz4gHs/x2wFvwNnUZ2t7FrU+pkZTnQeYmcrcCiFnHFXhiumdvKIJpM0w5UE4r
tOa1RkhzNc28DvbVbOyxSPBKXlKz3YEBd8Er843lH3x97QHkDeO+TFKN/u1sOh58fZZeoG8Ge2u5
Ewn3QdL62fs0aOkLR3pfHZquIRe/7VkZLoODgIjVqqx0Oxp1eq0VEwzrlrwmfRez484X5dJeI3nh
101VD7jMOZrb8QEhjdWpbdWI1bdXr6n0ZYizilSHDXh9FV/75hKPq66T6ynCbK5GKaIYEkVuxmkC
HzbS2NA/JOCcXLZFmjnAI0XdOwsJjHkTF1E1dgtNoe5YW4hvEWNWkRoCOyZwmhA+Mj6cHOFOVLi0
RSK9T1qTONrQz8dmyb8t8Tz3DiWtFaahzUSoEnCgaU8JZW8q7q4hCrWjLuvuVqesM1xoawzlZHdh
3qf1kSKPCbS4Nb8UmjtmLHj6gk66lndGKZ2dG7Tzu9fmxRasEMtFMac0sfZiN/lVcekACfZNb1fH
phnGfVFPYghFjfa7nMpxRT8jb0yhuioaaS03TW4I/qyjKS3VhsDJYkOPgBXmbtIQexLEd10lq2cg
j4EjLqbvedGm9gZx0WPRVMmdlYj+VqaTd1e2xfSaVr7aJAHEStem6o77odnNU5M9lbzmkA4283OR
YoOLkEyuFK4Zb6SRedcBqrKntFXWQaWudqNBwwyIQLRgN3mddYnduNxTf5AtG8NDaP3UCt8JPdyT
j8I16i/9rAqks3FKzKCTC0th3uk8FZERtxzrznRdxqG+2o7oxo8S6flelkXyRPObdQ6W9fQ2Wkc+
4BkABfMRlNLyVnTlD0OyVeNdWxwVJoThbwuzof8T5cNtly3eER3PQy68TZ+PNoCzpbyLMbf0jaIB
K1ff1TjdjCT4ng2FQYm0gDEc8pnvesS0e5eWbv3U9areTzF7iTTTZ0OwYQ+l75/4pvHotJYdgQDS
DzGX6i52+/RU26p7SAxreRmtBfVaIJX5kTedftaWGrxZCIvYWgR5O2p0vq+amgNiV7FNaXHnG/Ry
1lN/fNHdvHyeiyV7tuSQOdAbfvEstDrYyIInzNUGMheZ7rYBFPQOpPTMW9yNKKYu93lnzTc1yTMn
qfoA4e1c5BBzCNRvDCocednSmBriW85u6zhXJ6W1ikUKtRZ3MTNP6viqDDNggA2ltjO8zNhGMpa0
OxLzEnoIPaMEML91enlq8KRuSB4yn2wmjJtB6x6zpfuSt5r3jd7kwgx1SgDhWiRYX2S2S/7gdbl9
rui+Q7Zst6Gb92iJsuQY2L1HFXAneDTG/stS+igvO735cEcW2hY32K0VB8tXIZtOhJD/CohXtuck
T+zHBNVB5IqSeHtZiRlPEuZA2zTG1xWiqmm6jeIC4fsCab1EaCFO+PaS9568/O+lNCmVmcTFHGO5
dVypNkhErRcTs+fBQivuh0rK+cJqsAIxLpmbw2ASHlzYKRUjqOB2tEavBR7YOe6KvO8FjJYRbMtR
GddTn63rZJyBf6SVzNXBTAd130i797G/SOvLNMT+10JWuPrGbGSq80sZbEFM5ntbi/1LM9XO+0gz
9Tlw485dWR/OuVFnKk2MOmZ/8dOetR13zeekOBtaf40ZaUTJNVpyQ1cKCt0+S49NRZxI2M7szGBm
zXWfMUsH0oGU0BX5kH59b0h3PiYaBAN/KUK7PO6PToFebYAOvWiDmUWB3/ofNvK1H41mf8uQhCM2
nPohmgVFrHgKtqLLNR5yrbiSKvWvAqsoLuRJu3mYLx+pboIc6vBCtlKPjd59UWLRI98go6mOWWYz
Iit2GWkIuPSW4E7getxq6OfpVO1lDz6dXpe0AEOgZTGYSGc8Y2+393niIAUX3kdOgP29AFKPUlE2
D8goOEHSrj3JvKi2tLQ65ZXTGIj4+3q6amod/YJUZPu4lTvAtxvNHXdutamxZ95mc9N9E6rXdKRz
RsnYY/tP5EzZJ37CeWPKlmRVZH9tWBZOdVvFmrMrTSp6jXowI72ndHbu9eyidYmHuapu9sOoKJof
1fBqdrQzln6D7NQr3obe+JqvDTTsBMtlklUyhoivU0qHRUX8foNDskpNkq5U/8OwpmI7Uir8JddJ
uZpsSWN0Qi6g7YMWWp0Wf8Gv0F8jUh729IVDdPaksdI4bVFRudDVHdrYjCOtS7WjHM9dZqeRU0s8
qQgEhAKgSqRffKt8ylrnRed79f231C+/d0XWHy2N173ukfwvHP4Jf2UAP+G4hykbIHbz0t5MmWHu
zCEzLkur5R9BDg4xlJ911rUWUr9d3uVDie22z7NdO9BONTKQbEec9wfcGnSUKyYvIlidfWGm0zmr
GqihUkFRD4ambXRyrYhHbKathdDgY3AkhiG7fMhgiqNxTt2DnCxoP+dqsWV7qNEKwFwG5q4xnA+h
t3fjSMMTwbh5BP6+54jWwtnSEBLYc0h/bEbryMKEUep4nfTm2mu7O08nWawX+0VWlIJWwEx6Wt+j
dkFX3CzJjuw5PxREE4duhofDpkSbhSzZYdi6sipNuw96JfelOwYHe84TCJXqDoXI7dxl6W5A9hsu
jVZHbjnf0c1kbCDVyn0/tA0puG1NrWnjh046Gvsa+QKHsGfdaIRPhZzt3gPCDLjAPMbo4hjfqVPX
tkiuSRmrxio0s9bhRVakvA+skfx4I/jIqlmQe8rthyDj4KqpvnM13CHBsKRsZ6MR6UE7HlXVBYe8
TjTE/It/qob5jrz9VUTyu47tv7vUP+1SRAMhKfz/dynOIHIvf16lfv8zf6xShKUQVAXXE6Bz1I3A
YTX7c5UyXBSha0IVPh8MBCa83h+rlB2wSiHF1E1IIoeZnSXnj3XKtn+zXGh0mBidxxZV479Zp1jr
fl6ndKYJsrX4PwtjFOn6q07zP9KI2oVJII5nEJO2DYyoxEuGciIF1nWEW8wHj8y6GhI5ASgIM6u9
QmmnRWWWpN/6mC53vLWVCfZDJBZe3kXgnGp6z/1YoC23AEl499DYzJdGMBg+Z4stLk2/6N9yK1Hw
pyMVg6FOydEq6sJyvacNuXn0hsEzj70IpumkrKyTV13r1lt6UTAVzyZC6GJ20RAYGMKMMSaAa9Yu
+gg3i3aSNAMjrxdzI2ZWudHstqaZgpVNSp+jmVDR77RHjrRrrrmEgR+nKMtk7aSR7abZFcGg8jiW
o3fQyCY/Tk3FiNZltbqbhLY3cSltGjOA0FIULGjlUEVVskalzPOSPyunbyNrpIN5nNUlDYyMfs/F
6AyD6RCzz2ZsSiytoWd1DkXm9copkWSLo0qL8Y+HfPNcZX0ZjdvMzJwTx19/i4wmZ4pkXf/gigB9
90Eedw+LS5Lm0Nm9Zp+9LlHFNu8QkNoSen/f+W2KCkeZ8goMCQ1HSQTgbBh6vXMXv5oQZnIEDtaB
PoQUE2nUF+00eudlVHUXLChRDMNUW7QSY55OISmNKNGORlUYwXRmBsozl3Acg9qc4kipnOe1QD4O
dB5pW/c9a8VtiexHfQtq9q0fQW70P8hRxBJ1bbIrVsYXdk1j5w6Zx4raerH30rKT2eDv9Ewjb0GZ
X48tF6orYvIhyzE/ZnZQW9uuLO4YAzCdsamsxdfypqdpKGQxZ7ApVYFxsC0IVTUNYnvzokGTo2OD
IQ1kjxfzxshadT+4ow1ZppWYhbBk1xGelOTk+4NnR7bF1Y5MtsuDXutYEEpm6CPxrN0O03X/3pht
+WEOwrBwZYIqhx2RFOHg47UKE+B2i3kgMKC4B8lik5QnnO65gUl0fEtzexqipbGd27UxwQkbu00I
+7Z1JmW72lWK6LHJsuuNx8ddla7V4nYz1F2N+I7QycLPb2wj9nD++XIMKeLFX2EkQobS7KeNX7j1
cYKguc6GODdDJCz2xfXz5VTHix4uSPBY8tN3fsZ854Mh7sYyuXZTQIXNaLsX3fP6F7ad+C3t0mDX
QCrs2xyfXiGK+jQaXvuY98s10jLnbr2zb2LciRtPt+otCtqrBe1OCMQ8RL5Fi7eftWbHFWj1Hw0J
FzeNUyQvSZst507YxMZPRXnoSxc4N3OTfZ5PxT7OsMvHou2/mZKQfNRTwZfE1gi0tXzzApf/tJg6
no9cUJIbk2ywTM6lzYR2yPNePjsC/D/MCyUvKrPMV/SPSoXjvDQJRUq6dQ9ANW6Nurd+aJ4PVDlw
NXbFkg/HcSg/SFALIjL7UAFoAEJBWEyu/aW1mJOJnZiaD9ufkwcntxM9bGAKvg4VBW910Pf8Ha12
ZCkyI9ImtBA6h0Q53W1OhRLwonmeo13N1c6qE/+gHOoBmE15nSMozneDk+A898YhOxtBOj7ABxRR
yfV56FGrc1s39745o5xNtcgp4gB7Scos44M6n3xAC4gku/S/KbdOb4PSzw5T3NTfvEwPNqWORjxs
K2A7DG02qjTdgFHP74eq84+zNalNwd39xUAuVIWGnM1DMFpxJIfl0ddzYzMrh9nY80R2nZcTJzur
zRsbG4nB6aiRmWXgblKMua8OgQcbC7vVPWaVLLK9ToJYkEPsWHlzZQJy9IzS6gPF1bSdTGv4kaAf
iwo03NuG+B0cyCZ7Xb1UN4uRBTcTFPztTB36ziiT4dbsuvZM6r/+xTO6pYh6QY3ZriHMZkuFuv7u
t/RI2BQ43sPWNOw7kp0kzUfGWWNIfiiMsYd6wrFvmcOiUWHXBduFIydKh3lyQ+gXySrKye/LTgs9
f3KvTLEkGLM1a2cnhvmYiKClx95JT03QtbfCSIH/hD5xZYN0/k5M5PCFVgaRR+BpqKlpBxdhavQV
jeDCDQ00JselI8MqItDxO/p5a2uoJoByM5srqnHyCBa1uyx1I+9KzJY474MrMdHgEnpzlsYQJCxt
qW4QUGGK/K3sJxgkormvvNafv+jS6Kk5Rgx+byO4O0z+oI6NisHPkApALUAK3mC3LJ6roBHP8JPd
bY2QFdonzs6jEognpb88Gp0940dq8v3cTfM2xjcBE4nNHHhL6A1QnqkPx7pc8IAl3vhIhiMbSGb3
9UbLHAZkx4bt01P9VvQemg/Pj5tTTdPyEDGUz2cnnysSWzoAEr+xLa7jIF9s5TmhM6XuflYVQR+5
iJeTkRnuB+VvuhY1cZ2RDJHKyM314HlenP6g2wsveh/jykqW99nOzcBGkaS0D2ioWaI0p0NJmhAa
aW98qS4jIVZQkKgnfg+R/O9w/I/DsRFgI/qb4Tj7oGXovf6JaDA+/9Cf2a/mb7hyiHcD+SPDEN7g
f6fjQP/NxuQRODZpdXRpuszhf07H/m+08OCqIeaD7ILPiMA/p2PjNzdYuwGJu0Sc5lNY/S9MUb92
WpnU/ViWbXkuOZ3cab/mJ4MfodQue+Ncw1gPZIeQDqQOnQNRiGqmpvygSeequeSFocnHTNFEiEop
xcndB63z7mVEi3CK6jlHLQ0a7kIJKOWWdn5OzDUqCg1jgaOg7jEA/ceVvv1dT/afGaq/+LmY5PmB
fS6t7pPIzALy81jv9yNRPd3SnVHvqHsjrXl5SNjvefJ0GMQZmOrvP5BX7s+bBB9JHyl9xiws/ppI
+csmoWUlL7+xSc6uG1wwxmp5VE5UKe1pyUkELIHQxMHodISpUuBQjUZ78uxD4I5TvHOS1GiOZBIi
1ljAXBDQu/G47M3BVbd+nWEeaEi2vU1XYr40jWHZ23HdnPN+bXdNcA1PoVGsGJzoCFKLHJrLIaNl
zbXW3Endk+yDlNVYnPehbhk6c+HzUUEaT8m28+K82kgnxuUsXQ30z+UbEVE19OO4o29hJq0K61GH
P0hE0iqd987CTDLTfEW17NAa153fFFnkJdmcbFHpyGRrrD+5ntoltFGamA8GOhRiobye363vUJtq
KWNy4kp+DGVmvtryKmhfzUkWC+y+KdIblVb8RCTSWseZdCn12OFlo25FMN0+mDlvFyLFqci6pojH
03akELjtiwnrn56Gruf+S7C3Mwp7znS/dDXMvlWa6rn1DeLSeBNy5bKe0FZwy0Y1R1YnrGQTdd5L
BEbBR5ftxL9tR5KVtmY+4cxSC++8UNPzPF1VVr0bNl29iooR22drT7bznsskfhpnN3iaRvJckDCQ
erIRmXuXuvicQN4EF4nQLr4F1x4Ghk7sTO3BXjCV81YorDFystXTm5E4hj3JQdb4hTGOr5X3oWmc
qT4o09OyfiXeenECkQEKytYChxXabOCUGDQvWug6vkph4u401lMV0klOlA5SXh99VmbgByc+A7kG
PhRIOdeT3qYh9HcLfpJsSkKEVhG6mh+Qtw7XGvEsXlTlMdKnhZKV9yQfnKt5TtwnDV7sWk5teWtZ
RfIO3JsdCEuz/Sgza++9TorpubVII0FZxi2bSqSxE4EUPhMKjXlRVcZk4JjKdRD+ETjxpBGoNdyZ
GekpG2fyuG2mzuPyyqxyuxsiRRyy9B1ITrofRmGRrDvbfrpYm5w7kjyeSvHdsavb8secQ0m+8o9V
/oOwRnWfVTpKF5f8eYgF7pEeocUYpU1gPDAs8vWUBfFRoRZLvlvUe2WFp6hpX7kyPFw413koi7aR
8a7XScN66WNH3ePB5EHQFo8LnJmt6e4LBAtnB9tMG8YwkIdkyhHn5bGpbm3LEYcxXdiQrRpgIfSa
kU8htyJfaInstWCLJ5Tr4gWrmvsTXsfXbXYPxbJo2pM2eou4DGandbezwpCwK0EH5eNSyTl4zGzQ
v3vGbVSqeAMgLyfLOi5Y+6dwmSuuZYdhLSMIQaIvCoKEC9EiCz/A0WHQtDlV0lMrPMD+zxu5UBpf
XIOhotu40/pQsHPztyiJNpPDvDHBNTXsdmRMp+6LKv3RvMljVESovoyi+fAsaZDj5ucE3qwBD6FG
dK86eHHS5W+d0aH8DJ0Rd5AV+0PxDPXcGyl+qsXpbpqqrl04DlD/YOuViQaWUdAZEiLRzU+9IFMN
vUhnXOcE5Khnf4xF8d3xahMc355FEm8rfTLNm4r3zyKQjyDePMa1SYYFxamurh9T04K5BX9ZCFSg
rwz/3oKQKEv865rQ3BdnGuOoWVjYKb6TEUmE4yMOTG2LXDqFuG578I4kPVplEGOujGGxqoxGEZh7
CNzUq5yD1mNax6eZCy17hg0a+53dOm6do5ifyb8rCaZqW19/6mFuI6vS37QaLmQg2g+Ypx7CLJXK
PxiFmXwt+9j7rhIrxl/V1TdD6V5GeKl5WxDUeec2XvLmWFO9rXhJbbB4WPdkmNRvhp1WOxM6IaYx
tyKBY/C62yAh3MprC2GRyFeUV7BO5aOZ9x5sUT+QnDEwUE+KArYOLeQEoXUzlUt1cXB8bUckg3cc
6+1bHozpl8kub6Wnq3zfid7eiZl5Ws8bGEoya74kvVs+0m7ZJ7tuqHF78AIjLEosJOYExQ7zMKGa
QhK7W3oex95kNQ+8dNqX2qnadAMIVLNP681z6hIbY/DqIXHIdZhkCaBT162LayfJpmqTxF7/I+vI
pABMsQ/mWn4qkcZeO0nv2ZuUmKYZDwfjwGYNMzmLvmr2finmMspLqzl6qTJ3iWPcgVW3e53eik3H
7/iCMq6VvKUm91hjOpy2c+WN12Kw4y9By9iu9UuxcwiliSCbF5/SDNe91tJBnDmwZ4CUej5KzQho
fikkCYpdFw0s45EY5xzhY+8+TNm0fNP1Mj8TRAtGAApVbv5+QsGv3/6H8J75hNpP/mOsccIW6sqf
RyLRVJafl+jW1NB2h6LGyqhLi5eQraEixFHUnEkh7A5//6nr1PPrp67qFzz1hukRSPjzp9rxknqp
dIIThFf7itWUg6EdTGaMv/8cBDZ/+Zw1RJpxmUJa/dc4cIKN3bEPkvhkF+uE4ekdZ/YqJ3ZUzIHx
7z9shbO5nNR9Br/mvBs8w1rCEHj65EObVfa5xuhHWjYG27//qL8Osr5OtW7ALK6T6vVr+YAgubHV
gBhOFolC1/UqJ3RojEKMPjTnfq00+tefR4QznQAGCQ3oX37JnKZGl8e2rJzTotL46fdXEKm0vDGc
umca6bOZy/v3n7neeT/fI/xya5wzQQV8eb8O63OV2EPQDfYJsS7TlYeENmMsiXkD12qNFbFx4luR
Vk38s67lvD7+/gf4603qO4DeJDyTK20Snv/zTdrUttD/h70zWbIT2bLor5TVnDQccAcGNbncPvpG
EQpNsFBH3zk9X18L6eUrKTJLspy/WZpSIYJ7wf34OXuvPeXYEfqejvU4okicxPi7cPO/vYpLXqtC
EMY45M0LmIfWWNLjU2eO8vo4J6hMXe+3wU9/dxUOlMxNcPzw4r25iupsq5EG94I7z9uqBGnuN3nA
rz+xv3kskcXBo/Y47awci58/sawpGnSchJRZITposE48FMMMQWI3h5247uppWH5zpPvr+sWazhrG
bRHXymV/viRwvnAec+WcjSpU7wWa4fNiDpQiPfGCuxKpNsPNduER+fWt/nVlYXjlowfkbhGCvb1V
wuITMJrSApvA2x1WrJOdglO0pIjjf32pv7lFHg6CiqjBXY78bxZLF0s0lyoshL2rlLQQ1cXCkPUl
d3hgsvUEN61Pza8v+nf3R3PXI8yVeZp8m1Y1YDewY1+Jc64afSwLxz7lphcfOOj89k1/i7RnE/Lp
TkjHcVzf9f76psWe9kzWk/OiW7TAqSgkVCLYufdQcvV1BYkB/dNMmTyN1HUjtVZ7PTRYb/cO7h8O
F5V8xQHRfiYqz6bqXMo8vqX1X/8u2/yvTzh+INu1cBlYigbN+p79MBgsUfYl+E15wgubCyUh6vEV
TUUfN3V41FKfsv7X34T467u75tJTV9o+yBTPfdO1iOgxWyF73NnwDGrdybM5P3SYcT97WrBlAv9a
n/c0EddNnzcvKKgXsbUTf7pvWqvJD03ULyv2FDNChzEo3v76F/y7z4SVkmcFZY5pvs1rMMGwLsCb
5LlYPIpuU6YfRGTY5za3ywRJNiKEX1/wL8+msv31baCVwyOKq//nL6EBdUrRPy9nOFDOa4v5Kt3M
TcljOtWcxv/5xegb2ch7fZaat7uAtxCnRJt7Pk8kJt+mJdgGTGSccqRZc0r69cX+8lVzZ96ajWja
6473Nm+3yAxRt6E5n1VIo5bytePJ4kXklPjrC1lvJtyWp1gu1+JBcnNkar95kHOEZJOq3ZEKQsft
rckZrg8Mr+0I3QWm2V7U6UAnxInwn8RjXEycSBjQbpp83QYZjt7HSUafwGAqbgetwBO1uFofTUPR
yqLrZe/NfO1+jA2cvcNoRfNtV+KRL/7pQqxIoEIhgviZJIS/lEJJCcbDBe14thYQOGPZVxeYsJJD
ZM7/uOriUjwDDqoEWnr22zUf967VDRPOFI3iG7dHyv2Td+7vDGiFF7B4f9s/XHevH2ogVOOshxav
PgAsCSHrzbfE4MdGxCmds2om54tS1nDWTug/fWuIKLelq9MsOcTRabJ+85JZbx8RhysTjqdsrmzB
jFhFGj+udU4edgkEXwjowEqKBb6Ap5hAztibbTS3EypAfKgZ0qmqRbrlRxVvoK2j5Gh1MxpCKMLz
vdkXdBGXbO3XNHodbDs9atfNN4OHLlSbAioQya3bzUbJvzQm8ugbUZbSuPRslG1MV5+ISWK7M9gM
DnOnRX0eoLsiIVTtdCvHidZYG2b0/RAlstEnzRCtyYKjlV1Jc1Wog9ws7ka6DddadQZTtUTdVsgO
kVG5Jfk2QwdCxHQhW1zSljbLoHVl70Oh1fVll0H6I62M9PRtRXgmB+glOWPJFAF+LcmgpRfQ2stN
3ySyo/dtDtBk7CUtK94ZkdI86hHiic8j1Faa4gb2TdC+9doMheMQ3w7zxH+7kEark6poUR587ROg
q4aMU1HZLPzfBZb39+ITCCWdFz9f65qm5l2Ly1zCtCpb2B0ZWFEO7rOe/G8KhOm+npYiviUdPK8u
s6gZurvWbvlCLOQFKPBEUWf31WKyX+i+E81emGq6z0zLu4yUqrJ7txbt56k1uQuIHXL5YiNBcK50
I9ZW1JjzNeNM5Ae5dfkqcdgvD6sAxUfcnDqXw8qkoKMBOgR5GkKVvarReDETnelcoduiEe4VMwT0
wQ75F1FShuIjcJDy1ExpbzxMVcKlm2xh14IzzJRwE+d2a92U4yC7e5EYwJMzHpf4lvMqBksxu5Ai
oDY6p2HQJHBscVwZwVKXOByVtcbCLxhBzyUQVbWx3DFxLx0w6uMpxpNI5MEkhuS60jk9Lean7XKY
cs6wCNJ8uoxRb6KXFqXUOTZRyQNGbqiyro1Eszd8qwPo2fP04bek1RCrir6ZUC4O7JBGiNfQbaum
ryjWwlvc1NPt9xaczHt+GTuGLuaklnxNwjgOAXO2CAG/v1bKYm0xV1PU6IIuey0hnGqa87N4FJOI
kyPdXnrzFqK6PtBK8hQ13moei3PJ52q1a8/cTtv+45zA6tpPCX3476MZEtJeQ2mvhUTkUNt5leu8
FiJdO7Ga9vymTjn+4HymA/9t+3Mxj+jbmN6Veyld5hGbzEyY2YNcMNuLAgYWbo/aYNKQzw4frAM3
z96nvhUld23Z8IsIk97Jvs6t9r5cECR/ICvHNmC4uDLL7r3Kn/orOeWw1tK0xM4BNW3+4hlMMnap
11jO3SxqusDxTG2M/F2MbsF+zBgANnBMu4JnxWGak/EGd7b7TGGedeCVia2q7U2eDAg8N2G4FPTm
jVyCaNYt3fo5pymJbbFcPFoSOEPOaAQmWm10yDuPBtnSD+n4fcf/z5z0t3NStuwfapa/siMTnDhs
BT/PSb/90J9zUvSAPudN+jvfvVX/khD68g8YHAxC10Hnv8ejJoYr5mqmBS0EYuR68T+9WCgOTapI
l79gehRgzj8Zj0r7zabNZo0Hi2MTp2xaQfLtiV4LlTZ9EzGLkebUbPIcEku3cWjzz5taOcOLGRUu
oxNZ3Sf1XF4TQoE8xmMEEZR+n+4EMpWHtEPNu9PWlN2QeZNmG2XQG/ZdfUBJYp+7sseiQtZms8X+
4NnoGXwHWz0jr/0cy/hiyMfq0ox84W4qK7+s0c/cupXtHQrTjw8h4rKDgza8g35tgNrAQnVYklif
MsrGq74ljWBZWsQ1ds+Oi5MKUsKcW+oZwX/VB25hpcFEtz6wocUcUsNCXAG56r5qHGdkRDVOpx4K
fLZUr26W4zjJCMrY6MnrdvwFpoGDmvZZOKmbMZw8tkLl52awciZOYg6dY6Yt49OIceKrWyN8sdPS
O1WElnyJJitsoBPUiAHjul9dtPreaR0yRjJUVxvMI+QMkB/wJTUrM0gl4xN8rDZ0cKZS1wQcRRdt
vRifShVp1Ia4rK+NpSlPc9K8H/ypASSyTmpib3gX11334Psd3nRIkvrjOgJ7r40s84NeorpWKiIq
Zil9Tl9eyfmYKmdjQUQ/xdLP3ICSS782bO99YDnjM9nQFp90mX8ELd8d/SXp9sJJkk8Lco3LxNQ3
xhLJc6a7+qzDZbmAaUhOtnRXbbnXWlutkjnemDPqTb7UKHvvJz40FD6lnn+NbPO91dr5xSxcsl+q
QnGjk0+Mpgj7S5FIFGGY5A5TE+aPNLfi56xLSBsay9q2NjOIRRIfJPomjrcm8UDwu5l58ACeGu30
V72D0A9nvmmTHiUYTsfL2o+LZrMNxhZ0c77YQDkZCI5fk9TqdYABi/NfmbOH1mlc3iaM8jZOM7uX
ka6IRVlmYoa0V1zVnZFeWgZFAfEFI8byypmRzcmqjp5Cd7HwW/WR8xGVP/6bjCnJwc0RJFVMqNbk
dLZbRuaEeHmluGaQ4d9FSHeDkYAnUFpYwedhqzQCwNwfPsGuyE6wJplYp4YRb4e2h1lYxtPFsnSK
gDG/K9/5VRq+h1AYGeewQVe0Q7EpPjej2fab2Bz7+wFPdbgb5ky8dH4elgEohf5O9GXzQVOZBX49
itcM7PAQDHM3rxTV3DtCQcGLoz2/Yh44t9iB7MnZQAKPQXiHwn6yBzO+QCfkfAQ8ZYLgYReLAlcv
+bGOSu9DCvH2KpPTbJ6o8PzHZcgq0m5SN1zpCTjytnXUVpD7yuKVOsR/h03io2GO9VbV2r4SvZq/
yFrPDc+EqMpd6IXl+zTqWyTOGjAoX1apXxB8khAC1as+oVPqVgkyivxOSv9yhcxt607f0XfwEaYm
vM/alE0A6MzZeRTJQWG5CrFC324np062Tuz3u2XsAAhVwj1Ls2UEbcepx+fgpIcKE126wQHmBrD9
zMMAYeLewup/qBIzw0/hd6GzQzhnvlhZjDzNYUUdLJM0L79EQ3pwuzo/RbPdXGM0oxgnRa27J/XD
4YN1i/QZ8lkDGlF0GIsAVfenMIJHhit/rD8M7szMw+HUe2xMpgQc6ef2xsEp+KmSLkraVqTD7dwQ
YxASouFvUtvyNcpCZ9gbQD8/qHEevzR5PL7MTimu7JbMx103th5RGHLWYeCHdnMTz36YbYEDFFuc
TsO5dzufSBOzfoiytkah6o8XWumEkXfWbFXpnp16Bv1alvmdD2UMx2cSntKMZbMSTnOYzOIxKmV/
aDX0wBXKMKCdYMDFEHXGJtshv6NzvXxeGHAWu0GADazsviCSIh6QL5goZidT5EN/4eSNKrvA0WOd
PEPhycvj7Dog8997c6Zww8XaFl0HkWpu05twCo2N5acKYx4D5kXk+l4BOb1Xwo1uWRYnWtfZchqi
8Uk6ZXnf0Oy470UbYqtL0vBppJUPxEx7BGy55XheQXZPXqksFqmR1wp5bLlmSBW3SHiaPeAxPDhJ
5nC2LNqgGoDRplJHLNtsecFUzMl1b/n9vvHcJoVfUhTXqW/y66rM2AsCcfhgODbyqvsY7YRu1SX6
BXWzINi7ggweMvdeuvDB8bQ64TUcH6PeoEiPhzD+Yi8GvkQj6gtSAJqKk+EcXvsg5B4WnvFTxI1/
Qme7nMZZywOSKNAtYbN8IBZrqoKlIXs6Evm8T50Z2bHoiOnrQGRmnWQ96hOxXKC6dE9E7FUBPrvb
Ju+ZOTeWfRNW5FayyGbQA5bwhA/NutJTFVXwRhz4oV5PJBSygsP6eT7qaiXhp4s+sly4B+hnxk0G
TNZG4T/Ku9xf4s9hh/oimYzRQJk9ocSSZgedcHHnOyvT48Gfff80iL590mEF2UbI4cj7pOYN/RRN
rovrF3xFsCA4wMzmtoPVPwa97Td3o20WCfg+G46qj/kqlgnAjiZ3iFQh0nFx/enUsjFyjrDGa1AP
n8wq8T+J1raqjWxl8x7ubvzBHMMM0qpRH2h3GfAgBpYaHr+YTdrJIcUDPXX3yZBmt3B0xw+165IB
1wn1YlWJd2PNJW9evC6azMGsBMvTKJed1pZVPZSz/x7RCYP/IfbimgFvs5qFsGHHARNs/yXBaPBA
76dtbpXGZHjEbN/AN1GKMLsiFY15aSHLZx/zRWmSC0e2H4yKkuiwy4q+04MmQ3LybZg3dkyYW+0r
N4hRKYQBMWh3C97F9KL75lnvV/u6rG2ZvFrfXO3oS0y50yMYCKQlwJQXdSVw+A7dAY9rYvZnHlmL
tBB3KFFhvaICfaH2nZ6zzCg/pcNkPfld7z6SQVyfUfA8NqU77wq7KU5ug/HC7QdO6tV0r/LlhQXw
K4y617RTL+SG9h+Z9FJBOMBdN63sX1zfSI/K9XIkqPludArjki+Hk7CGoFXSj/hqLxLJc1c3WbYZ
G9tjMN8n+VGTSHhnyzGbA+h1MRGYmuixR0/1elcsFnEV+ASQL1SjLIzvHcD/HKF+d4Ri9MQB5/+X
ml5/GV4//2zD+v4jf9qwBDYsG1w4Rl+GGfSB/y00FWtT/U9lqcX5CIkAJAiSp9cZ8P8dncD3Mx/y
TCJ4IPKvotN/oiy11pbiD/1OTFfuehkGa3T4UeC9GXXEnYOrT9dk74WtC4HHkQjyhcF6teRQZ+Oi
abZ4KM9K+I3YVKIZduYStTt6e/mht9rmEuhkb71HEJiReJJryqkJ8whO7mYiSl47M0WWM7zvskJv
u2gGjFQzVwr8wRvQ9HUpjGeS0wYyEGdx3wPDeymHcLhZaMlNVA3lajFZtEszk2DAfVI42RGDOJ0r
kNcEkbJxHxTdvWpD3C5hx2A0MQMYeGBvnXl21T6evDE6+o5YehJhU/MjTG0wAfmcZZ8bmoDEdcqh
2IzI1W5CUEwIYcFLm1uIzDMZYlOSuadq1g7uHdHjaWoxfplsfaiEzgw/Z+LkZLM6okuZbgk2moyz
xy9IezpcIKZXDYDFO8urqzvfSaP7Jc2GmyYfafK4ebel0Y9+PIRhf0hH7R4LPy+bIHUwi7J9dGCF
vD5D1O5o5CJXdma96+qa7Ml6O0Kz75pjKGTSH4rQimz34EmEvHtXMyk1t4jXdEkgKCk11zAQilIE
uAyMk9OKqsePETWQ01KmTGWZwVjL8cs/t3XuoFYawERRIyp80Z5MQsJssmZwfHRcBG35GyDButjX
uLyjTY9wWeGUNuI0xIozG3uMHwJrtWwZgfNh9oPbXSLSI3E2akzlVkeQrCIkkiXOw23jtMP64IBN
IqBPAjebUjJ/CFWDy3Tuur6vcdBDD+psvdFtO4xLgR7QGlvxPsIzZy0vU5LPpf4MUawrSJtCnZeH
d9/e4v8seL9d8FiBfrngVbqL/2v7SvDfm2Xv2w/+a9nz1R9MM5DPC2UDG8U6/H/L3mpMxVnqg/0D
hPotjuTPVfCb+1Qx/qWHZELOo+3zp75e/oESgAk2P/a9ufRPVkFm3j+tgg5lEiNmxCu0kZjOibez
d0CEdasm17pcsABECyFJ0dyRvWNBDpvbK5D2/q4ueF83gwegZOM59vJiWLkCVJ6IY0t/85J3uN/N
DUF40dwQ4cNI76qKyiMFfX8mt9rdOkDFL6q+NB4YHtRBhWP6oiOdYoMsVj0MXj29A47fMdioUuMg
6gaWeovLTOFkRJ26iL1FuVESEBXaVJ0+px1+BhxHdIS+c6XsQp8tnxN73IR349LcTG21RTpFTgDd
myO1iY1ez0NtmKuzcMJt2EN9j6Pmcy8FYJ20boNi0GDC7XK+CnVE16hjHRnMT7Gh0HvnrbEj3EDs
Z3NZDpLAURK1rAMrX/kM/ivdtXUG+zp3dvmkb3Q2OzsGS92rtjqbuBFoAmAQ9NEuFNcv1qDTuXG2
Xen5x7ntk3uXqLltAX/jWGcWgUnVvFrU6uGIo/FGz5zhmjZbdmhexIZjiAJ1WtvYhKS9jRIMepju
p81ALX/OEvcqFn64qhTvfRI3CI50D37RH1EjgwTMCaWcfaYXeCPNrRWaBwN7ZCDj+Ul2AO8HTIs7
3GLdtsOJts3nPgq0NNQOXe3HosVjNk3FuYbQeFHrhIRbXKpEhe9xH9R7SXcLAI0yNol03U0D9cAP
/XM30x7zMiKWkiU0nmab8ETb7CXWMYx0dj9NezB4PmLPYj6RzAkIJcVb2wJO3VJ7czqbhKThZMzb
djKdbYljZSM94u57RWcA0+6O9MMP9VQ7F1CmT0wEmUNIyA4959aNnUeHmAQ/YuTpYeY52tm0eaxa
9eRNC9in0d1EWA33RpmYO2Eu8cGti9cFbUGKwvIAVElzrBvJ5vBT49xY/hdnMQi6GMi74pl4BBG0
USOPhKejO/o51b6PKE6tNavhW5yqB1fFaXMTUr48NVYqPszOIgIS54itzT4uszPtgIHUuzRJ56Ms
gWAvgDo2+GPJyiP+fetGNSOeBfukg2khQKbZbDOh3xttV5D8PIWc5cn4apkaHoTHN1jZvrNX7IP7
0E7fARKKrkoTDa7tfYz81kRhAPdd1qTnMnLiwMs0zNkS/pjcF/C9iDVVJk7ONToEg+6jWYIXxu+T
3S8Yf7Ztu1wR4ZTv8feOO9x2imiOvthKGt+7cqI1BwPGpAmnF2omwCK0cGL6mJm1xfKM7NhN1UlY
NC2QOQ9Hy4rgyQ7WBSSRfmtYcf2OIR6foheSwMboh2BPf9xK6DUbU1YE88jUfEfrFrS5AWK3GEBP
dnHtBj5BoxyzsxL+lD3fhnVvnkXXjnKD6ilGIGBk8U7VHp6GrlBBn7P/2zOgF37V/tKFjc1fNC5L
JoGHKkNB62Qfk0FhiCu9/DQ0Lru+N5BuuvB51ksrj26cp/RFzK9TGCOOQhx0ZnSMOEd1D6aXnPpy
UGePA/R68LknvbnZjaYNC5L272ZBTbZ1HA6fVuN/wgN7n+BICUV/S5TPmkKZCNJXjC+Fs8x7oO4X
unMvk3ElTLnlARoNZ2Z6H3tIlXCANQ2eORwgjqEnoJ+XvDYVRtHIWx7aykLwvqqp8sw1NqPXdwHz
iXlnJRW93rLhkYqUvpotd98X1qsP1xiKLLGSQ9GS52zFUVC4/q4nscTkVWOs3XwZWmo5d6FTIXVq
H8wcwzcmbEwGuTXssnVqPncZ5ZpfeMfYxoGcWx+Uai+BEqWnVk5P3ojW28XJHmAgUHTxk/LR94dn
jFNQamv3i4pHnJNh0gVjlD9aor9wnU5f1551TipNyVNV+RVYuU1p6ts8DoEp27EXQK3/CsfbxFxO
srxc+urgQMTZhkA/ds3Y5ZdghvUBHhXMEMBJxzwluc2OP/iz5z/OzkxYVCkuFiJR96C0m33n5cN2
8rhiuSyPFITJbYvZMRVsQpMRTtRloBsYied73Uvk7YV8qDPmfArW4sXctCeG5WAdBxtSSNfTGIvZ
XjhiqJc8m96PYd8f3dn9XPUWJKQoJzTA6sbDVMJPgrgrGYIMPmL74daMIBoz+Fh/8fGqbtow6CT4
h4J5SLpUnE6S/dQk44YFDfBvbDz3fg1bCxSAjSGctbBfUWoL082E5Ng5DNWR9Tc5x4MzHiKDVY5m
NlhcmuXYJSz7ABtc7iN3tPcWs42ATitwPTd9HodEnhbDe5y79qLNGr2pjeirbdTuOS/zcG+Q5b5x
aiX2KEi8nXAK8+zVSAmIroCIy6q6pxNZbUdvXuzyY67asnuHOjtsMY16BjKH44Q1i3R4+l1eNT51
JGW5qzcVIQdiGJ6+wrtBu+SP9caNrWx9yaoUDrh9bGjUDCgpambZ7+x+JKaQScKsW8Y/sq1YvTNi
hOoRswR6N3lPmJGrNBYb2OLlmWiJ1vWDlIQobLFE8DL5x2lS60Xr7zD6/5TXvy2vGV3+srz+Mv7X
8bWoW7Kavvw0l10VSvzBa9v9z38b7rdRqydQlSmLBsW/xrKu9YeULl0Cc52L/lxbyz/Q16GBBuAi
HEeuPJY/a2tr9a7y1wlXoBpmcvuPauufKmvUwQyGbbgzOFf5LUy1jm5/kG86hpoimsULRgfQJvYC
dIBd+OmHD+X2e7viR5cpt/hjE+P7RdCJobPmPv+i1+2qwahRcsL6zZCrTG67YPkZ3KDOnG7360v9
fFL4fj8OH4srHdOlsGSo/eP9VEUIQTyyl+MEyGqT5Gu2qIUPSKzoghz54LEQGsHTIh3I2nP1m8u/
kSs6HrEb/BK0daGboRN7066x8gUkurIacEvjo1W4z17Sbn99h+s/8UNH6PslJJwgFMIKQdobrafW
xtyboWiOnAkesfg9wRGpgh6rAkSY5suvL4aY9q+XQwmAfB2V36pK5kH88QMFQOkoWPLt0RmJ5Iiy
QnAy8sGCZjIszvngvHPCEbwZ3t3OZLlnbeMg4uMWKzJNS6mtQtAEViRQj5EweMIR5eMerSAnBqTl
RNWmBVRTUlsIvEMFcHXNbOJkpYX90UpZ7OHSfS2d1YWrO9N6mrFMB8bsU8jR7rWv46an2o8ze9ub
8/Q0w7y5BBUyRhuOk9DZnMYvHpXMo2dA9xUTRm3fhRHJO7IDta0kwhfAoCTTRl103RNctYkKPGoV
URvMBCTUzx7IZUbue58aA/zY4qvj5vcQRz+ByLnrGCsDyfE4bJjTh4jtiUukagdWoNiQLbRss3pp
DllDOrYuoZq26fgFbkpzcgkXqWdlsP1XyEotQi9G4q2vp8nOAt8gsZaW0ZNLqt45jaktACVwMhkG
BGeG/zghb9vOIk2vF7+JHjv20aDn6AisMcJvx+iOnLsB6nwe7lIcWlfwdII+xhdCRuR4ISOyqXdA
LLqZEKE58k8daNVpn+ArfWxcZPsxvc3A8hCD1bh4TaztAhRPOWmt3jmlazzH2aBvgLPz73iILR8r
kcH80Ul/pEnLnFxrtH94LOKLsGj0VUWIFaEIJOoxX+ARKRoGPBUcbo4sgsExse5DkptPTkUM0TxQ
6xlxYvUvfWI2kP5McsIxjkaPSQwKpEwqsQlVgVeNfZa+e7KaxgwdXgJd1HeAe/UtleZl6M/2S7N4
3aPT29mxIQn5Sky2OhYlzwKDhWTfd+V0KAv7JQbWAjAq6aN96trT0WkT/85E0HAgzkRfLZFR3fY5
wEDm41fRVNUNQ+3c3OsRk3alJFjSRNURkzhJlILv9BdENHGUXWJ1i1lzH4Zk4jDbdsXGF9EHAjBi
BlnyeRqiM0nbaxt3vCP96R0UJLAUAy0GpyDfBBgvGdsxFfPQMzrBcSsOls1IiXlpfpyLzjnJum0u
OL2uirhIVjfFzL7BE41YHIduZN7ZYTO/Eglvrrbd8nKIUjobkbIO9uRT/uWGLLdpgT4tC8GtNmbD
1cCJVrwvhmEH1OXhPqxjJN+GR4J81pWkbkb+IQrD8WICXEM7pQe74RvxoR1MspUyhhqWYwIpDPsp
KCRBBrbKx/NixeJyHQztw1T5kMmrFOIHSQ7KjV9RxDz7ApVP1HXmfcJU/2gN9geX79Xw8ughq0yG
li6ftJ0s585BdwMRT28Wx+i2IdT8beNhilVLemW0TX0HICTfIsD8zAGu9RAqZOBnw2g4hQwxd+SZ
3U1zv+8YJB5To+fEh0rhsEAaDyKS5d6h9XMZ8rWjsa0bzUnPquxXwrLJUotrtWunfVNH9qOUtU+w
faYJkIeiedsbtc0oy/ROSTFy4hBxHkwD+LA47leVvFMv12GedZS5IWGfFSfhSxak5SRwKTMTlC+6
QhVBWux6BoIGiBkRmYwZX4JjOcRsAOicTARU0RockReivG4L75QP1juKeSiXoUB+4emzoz0YNjDD
tmFmeFdRmH0Jkb8wiW13bm85r71JFEva28NN7bSFv5E57x5LgrpJ5nS6xOySn1Rh0RHykmxbjcv4
vsLQDL5Jrw4zP53nIFe8QMBpp5XfZeTPAnsDaJXFuUPxq7YYfoFB50XabioSuNGpxN1OITXlPVHT
Z/rxzGabEjgLWZOZdtMnGUtm7n5S5UGj8z4QDvGFWEkkvR2sG/3iEg5vk23NEHYZborWM46CyiZo
IIe6wmYYPvh8700o05OXeu7a+QC4KBPQoRZZh+4wI8jOSMFEYxUfe2JILqqpl0eJouNGJSI7xkYU
ffDkrgDUcMjnmI9/gKsgWLk46vveng8pf7RxbgfSFDWi/y6zHpxG7RSC62fidJ0PEyfya0V+33NL
RDvYhzHZpLXW172ou31WcGrrkJQcEZ1pAgR4yNg8v5ZkuQG30pDDo7A9sT+OpwHkJ12hqXLVRScK
5htbK2/773XFf4r83xX5SCWZuv3/Q8PbL2W5wuFey+TnHvr3H/yzxncoyy2PnG3PRcTBf/27zvfM
PxiVQ7SxELThyViVln/20K0/+KN1XPgnQ//fdf6a6Y3/kYgPTzD7W5GL/2CS+L0u/KluJEVsPTKY
FvJ8QcX/cyGXFzamv9qkc4fCf972okooR5ALX1vhhDPQp+NnBxCnGB2NnYJsZmHAPoGjFeZ+adjm
gjg3DZ9CpMvx7NPdNDZ4iPF++59qEMg3o1LzBVR7c+sk/SQ2S0ENsUGF1+5SMTvbReU0Vw27FQYZ
zXNNQwlxOzkaabwcsNtUT5pYuvOcNvE1GmwTC8CyvAvRwdGXIkRnp32TKDFCCxqEQnoqjyaAGFp+
k+m+LilCfJob9GU3FS6OcWXFZls6ziTcxeUxIRX6iyFE9GlEpnc18TPv5VylPch+37mMoWvgsHCJ
WgK76JNk2MuI7GRjlLeEnuYXg+2nN0kVd1fD2NL9D1PoJyZc2E2FBWbnodagbiAyh8EaYMEJjePG
0GoNXip8QNd1SLRcLu13WNTsgJ0l4xIWDj9kl/2uhJNDh7GJdgQD+hsnccR5XPzitjNste/UUtyR
lVPdpr2nb0h4c6wNUO7yzPGyDlJvCYNsjN09Lj2zC1YFIfK8yNwxX4V1pylBU2ST5jPD5u6yr5z3
YEG6B8Ga6x08jT58axkpgImCEvJQ6t5+wuZr7dkakMfWcCiCYQnDK2ozik7bhN6P5wO90NDeu6ry
0h353PIMXcP82hoQOJ1C3LvD7Tos3bYjCi1oeLcOruGK5q9lX6P66l/EXEfvNIq/m6FNJXE1VM3Y
tQOJ6YtWSVcc7HLKz3jtw0u6Q+UdEh3ninX7OYEbv6UYIL5R9fO+ZCD8MPey2SlDFsfRLAKzEl2Q
ZWl6TzCqedMbrbsNJ2c8Rao6ZClhtQVJo0HcmxVpaBV6HX+owmPqh3LfqyL76o/jJxH6xr4C9YGG
vssF1ks08+00NSdCSYvNkvvA2TjvQcezHFrb8q7iaQvoQF9Qi8WbwmvUFjvGe3T1aOUn2DuxpcRG
zh6/ZRvLIOop1EUvEg5SsfEeV290qvO4uZd5XV/N8F3Prtc22xQI0E6LaQhyR8fX9tDw3PDYAltQ
s3WAJQUApYwT8AQO2Qq1YmrhCYgr89itwTSJU0UH5RRzJN7h1JuSPYfGke6pFIuj+m06xlHs3cME
BbUYzIbv9Q+WlcnxQdJi56gsmywWTwIQZbrDzphcKG26d50Xh/Hz5CxFh+cANMSeeLhVA4ssl+tj
G+GIbT37BAGYmzwViD81rU9OO6Iy5HvKwDI9Ef2OezMn1oG7SU1yjw66MvTwMCSYrR6AsPSwuaPI
SG2y8sjjfMmyTi/lFq1niewgli1I7Vr5pOC21sTK1idR9FKIJAJXERO9yUGxwqlvM68yd9P/sncm
y3EjWZd+lbbeIw2AY2yz3sQcQTJEUhRFaQOjxBTmyeEAHHj6/hBM/S0xlSmrfdUip2KIEQjA/fq9
53wHRFKckMipl+bxOC0MH/rmAQmFQhErPSkSaPpL2rT/Gj3NNQp7rBi9qk+pqgSa3SrKldAcO0qD
mME4ZVKUmL2KHqocRenabPHKYj0hYJsHy9KvTYb/7tS/26kRNLCr/vNOfb5Mu9fPsi7SN7Tl15d+
36vdP5xlZwVAtvTfGH3//70abrK9NOpMi44Hc2IaYn/t1YIpOf0drPyBKWxexqv+6skRXsOPQpuz
BVi5C775P9ir6VO9abogPbIR/CD3oY5gjP7GaOgvQFDEcdkBmw0PhxUSabiZuxj7kj3IUG/V0Jj1
KjD9BFCPPRG1VdkoCTn6IKdf26O3YERnXebb2q3j9mAUtTXS+4bNZa7MRHQvLEnk7kUgORqwsWeK
c+eonB4v0mRzoC0aDJ0Q4DmwjBnSk1VeaNozMzFjwNDQAC2RX405Y0Aasg5cEad4ogUTThWVHKxz
GZZw0Bmhkw3S18hr9jY7uNx2ubG85OJty7N0urVbFT72YAVgqjUL0EJ1gb6PtRs+lqmlX8MdSX7g
wCEa7eM4s6u8PtWkKQQnzKLdSxeAqiqWTHhCAgDYWdUF1uQwpCLVAytk3nMeIBDdwUDMFA9LLtih
B5M24rO/+N/q2ugPYkgEIdyBvq0Ets1OmDgzvbKzzq8MvsYHV/YKxGLIz9TID8mJQP84dy9E7HEF
XiFPoDY/cdzG5KeF5MccDZ2grF33eYp5Hady3gCtO97tWPDbTAH0LYsoalCPesm8QizFp3YWK3GQ
C1yemclnDwsXMlXPVO7sOWl5VYGLOQtyzK8DvHorOab6JovS4ShqnI6A8HjNKyDEu4BdSihX3ob7
miv8+oUWJjUUc3nMs3a/fMP0YPQtX2nXPXnwBPT12BAZjiaLXtzG7Io8vTNKm49QTxl/SsOORVp4
V2BHxK6H8xv/wBI5fXENjiDGGAgZoO726H5Qzy6TJvMjFRHWt6KcjXqFVuhbgsYBTtVQhY9Mu+4V
08rdRJalsyZwI3qcCRe485E2OQQHtMa6sUr7oWJH/qQTeFm1W3Kj59rpox3VBH/SHNn8lRBc3luy
3ETKRGmWcLyiC6kG7gZbLnlHoVCwAi/MPAQnGDhBKmEuxS3AzYdyJNlEw7Iv4Z1UL/B6kJqbC8Av
GVseQiS8fMHIAhgUBWGMVZGElmo6VVmIwTsPC0BlA7coQFcey+sa+atz8LNIHI0Mqi3cWcH7Tuce
32+J6edemEtkZTUyalgxWcVhSrESbytmQABDlvtkQkP3qV++okAocSzdvvkUWB1/mCJuag/uB/SX
A/ViGgbEMI7VfJINCvPLLZwa4OKmvOOguzzsCw/2U+SBOxxFzyW5eNEvbn6UqQjjyHvNdwtD6BF5
PxducQmKdVME3DC9D7GtQHjLHbA8En1B0jX7PRdvSnq+bJOFI7XS9tPF/d66zTJg7D3rwcEh8mhg
fzVWTZdhTMxaJAQFVMVi5dV402fajfsiccdh2Vn5OCae1VfyYIvUnOfBNLnBDMFD3uUD1yeSYB4H
Mir2KF5YQehkC+hUZJ6T1Btez+2ShakuKJ66sTA+FUYgg3Xvd4m4zS6uaIMzB+sprMCNiaH/gFPU
xKgPA5PsUWMj4CnLFYmxfF6hZTzu5m7qk+W0xBNmS+jXq1mwYpU2WOn7qdOg7zMAKOlEfp0ALX2f
hyzPQZUDrCM2lD/HoXF5RJAOTUrV9oNJN/9BuU3PFSwdfd9wo+OaSvL2U25G7SGkH7jHEwPFEDvm
2csLrAZBkkkm5iAAHAJLbXEUlKPXOs+5o4wQCfuG9ETrIUII1Jzi2ocZKKoSHGIZkeRHmUXyrsM0
cj2MMAqKdMFGpEBqthZUEUF3z+EGx9jO1yo7QJYmInJoeJVlPbQ9HtvMnUY44ZTvpH2aNfeL1akQ
+CZ36RguTuIS2vc5XYCBZUlzjP5is+jNUS7wJFpFPYGtl/zxCFC6lzgHkp0mLnc3B+kHtDLho0xd
K7tyml4eoIrjfrjc844NYXhtMp4Wa7td7v8eG+O5TwcgAADq+Jzmso0Mo9Wqu6F1sVibacf6JjsV
bIpELPdjOOHuJeUqfDTEgsJ5XdKghKblBgYEt5IbBbI/ZlTfWBFp68ttYxnWrePxdBVFThutH7m8
Ahjg5Ykrh8B5HCvc0mvdujLZXVZWmFeWtx+ToH20UlFVj2MMTu4jYUqsE4WzrFLWMKZ7h+i553BJ
DSLts7yzkt6GC1i9YMMKj7Jpls2gNZfNOVryTsNiBvoyuyxkBfVDvyYzpiEhOEkqK0H6n0wHlh9B
prEV95QQS7pWbYELncOrsupUgs870tAs6XEXd3NW4A0kHjxYA8SMH9lK4RYot+QrqkyempzT/BkQ
AeOchCWmhnFhu9latNJ7qavysY4teUIO3JvjagKiTB1CXB7h5sc6XDaizquIdZni5oo9Jri1Kt+M
eHYHsZMtZ/vWstQZWi+gLlDz6wHM9ofUb91ihUTqc0tqvGHXLRrV0F2jLVmbfsYzsOpLqzTGg1IT
VLG+ufKzkLbkwlIlQCVUHzGg7Ro64zvD88PbxhlWWenfR0i6zY+TV6ADQLRXetER51fJqkqkgnA8
j0wXBNObxsSdREOHDEC/U7gBvNbJ1pgjy4OFsyABZt2QvuPkYpdX9hCiECG4uNfjyc2SPF8b/jgN
xJPSNd9N3lT4h5DbUq7jrucAYftJeKWEM78LtPJPhEizzaW6XSwp9EXIXP2Aiam+MYBqv0vnPDiR
5cbda4EV9ZKAuALi0nE+NhoRT+4T/4MK8MZHLCdWneHq58KpM4KSyw8Ik9riugA3eMcZrtoaCI0C
4mlluAsGMXyj4xJ+wVBLB3YM7dXMTbZtXT/dBHKSu8nIwoM5tMNm0qrclkED5t5xECagBM9uAplk
0w3Xy3vJVFDt5n6M2McRqMXp+CEMs2aH0k/u/Wj8PCAXd9PM/xK3erpP3KnaWEVr70ROqpqtXHnX
mVxWL6y8ratL/TXr7QcDJx/E+a67CdJkvivnifhmvy+JkjecfRQOjKfC1NkSk/fQhj3DPOlRGW27
sq1vYAqwRAHqWLsj0dIxdcOpL6VFYpE0Dm5Yd8c87J3rWpBexUWrtgNzuvfaY+6h2zbYGiG4y4wV
i/Fxmd86WKogyZ0MMsjesQksuqahIsrW8I4Fjr27uBZrQZ7hwTY6uQ+WHUJMDZocorwOZHCRJQwr
6VPHjHpDKzgkDMG969PSRmNZmfe5zMgKmwr1wda2cT2VDWx4I/B53Ujt+kUNBdOaCE31Semq3WfA
cJ4yyveYxg3WZ+5vO39AsBYcEMIYZxPLJJI5y9/kgbPrfRfrFbFYZA74/rORl0/aaOlCWX6x4Hxl
t4hhnBqf40gEwEy4oUnc0NoNciZdJLlsZqao+yhO1JE8s5cGOMLWVha0z8Zcsqsr6zhlUjxH0kTA
iFJfP4E93VJdSyrB1Kw2U27mW8VA+SFqWVFY+WW5ZZSXwhS1fXTnhKWUCTO2zmay4I6FNV4TIMDE
rBE9AE0WkkBy7Yi2vId/XFjbmGA0fKOkOuvsPo0sUmKsrFxiTOZuiF9Y/ONdktntBhBTQ5THQJZk
nERMp2vooHvlJQYLk0y9Q5D346NB9z1g2wMuhYvHSjaywTuZJaQsIQK6STuei5TIjscGe8Vx9jAf
h3IirHlW87ZPTP4182HM40D4MMY64BaHNOIYJ7zGFH4spDA5v4KdjK/jtjwng+o+GvhBr0oZ3Hjk
Yy6mruh92dvmUzh2nlzBUovUKW/bKf3YeSgFj2XuhepktNZs9wdWrXAnQtG3Iz1Wg8op5uCG0F8B
z143jNlXjCPr4FPUFizqiIPHZmL5nky0ty4ZCUxkMpKvSPYrHBLSYsSNI6FxJN+IT4RfsOtCg528
dUBwKM6FMXJL/Lhkae/ovwFJMV0CVbl7sIFu3Z4aFIMaBXg1dhQi3uCwN6VtU0wn05ppR9mj9UAt
CpC4HSnLmRc2r96nr/r/xH/Wv9CavGENkCHpIGEP7IWQ6HOMfiNoYcRdEC6SZoeopnO4Kesa4u3s
zH335BBX2e6cMqQaqSuGXd5qXPLIf2g5/OINLN38nwQavAOA8MsbWcAKtP5+brSPiWfVs63ig6vp
HK+iiojyTU9op730PZOYYjNq9qlIk/hKNdFcbRuvi85xpayHwOytM21Wqsp/f1e/uCwMVQXgIo++
BjyGn98UkWERnXEnPlQGpV9LAGi81Sm8YioyBMCKHKFy05ewcTbGEDef/v23v+XZLReDXw+IH/aL
ycV5I1qpJj9HY4pnxp1AEx4wEE5MzToYDxlfSDK5eAvFGIiH3I+Mo7WU368A/MFpG/ud400D8Zom
0JLkoJYTdNPGVfbtQpVGN8dC+5s3/PcvEem35dLqB5LqW2+v10BTzxAMnQ8Vej4czpPuOyLUcwb8
0g3xd1dNSaCN7tpnHE/TfavoVVwA7mmt5X2JSeg37+iNE4xLCGtNOALOm48n4HLb/aDUMlz8sz11
w4FoRspGD+XWvaIl9djR4ulWAUp+Wgo2yD8HVNexGThfVAAjir0l2ZLXXdcsZzCu7L+/MfGrNwYC
FW1yAE3EvXz3P7wxfzAbhD5tcmi8mAqViWVd9ODcsUtpqiLRVe9JmQqc41RTtm40Dsv8NDj2cN87
Q4gQeBjDR+JBOC2jMaIuthTH2AsjNnZmyvc07qi5I1jpK6iI1kMVmjzZBnm0lKa+1P3NRGPw5fVQ
ysxd3/fz0gWopgYoW5QCwxuyWd8uddxzuvDqqrkLsGu6YJ3n33xP9lvBFN+TD8HXY0JFC/Fv0NvE
MtqU+ARjLxJC0QnumiEeBf1y1KkwmT+w8JOvYAeD8b6yZ5onZELytqa0n9/rEH3p+1igRF+7s7Hg
lh3+kYvFXzXRXPH20h4SNuFVq1FmdGkwrQIYq3Gql+vUb8gpiAcAla8Qc4BMNG8IaGPgHnAgeLl8
9//tRP+mEy0Y9fK9/3Mn+uPEzKiKf5SE/vWav1rQ1uKrQp7ok6tnm3hIWYD+koUiHeT/YohMB5iu
sk9z+Pu0GHMp81sWUYh7HvhLVvnvqlDzjxCxqIWKkxLBR4b4n0yLly3qh1kxkGG62LhggQs5xCYv
ptofRX9Ee0NHidrx3JcvhEPAzPryw9X4xSb55iH52y94o5OUWhQlfY7xHGQegd/I78LndDinISCb
13v0HwsC981STjpMwK1t0VCHisjh7s3eMxFSV9Ddtm4yF0gcMX2lYSO+ndB/2tT7n7tMx8HXpIar
b+7NBgPPvK5ByKXVCQgmPaqXuq0DP4Z15iTIfvc4r8z9FFT9nynS3rS8xkW7xOuZS9Re8Rq7F2Tm
dOURMhU9TK3aZTYxfZ3KLLpONQdNZIotmAlCFfDjXFL+7MEzUP0QeRoqxvJlm+TvWwhhg1x7TjX4
9YY3wZwtZeAHAbO3T9Jq0g+TLvqrImr7JceCDiox8qAmyyufKPuNq735HFjM8T6j/aJJaRBMswqU
LTlDu454Bx6hma8yFSbG+5HjqVNtxRAz9mzWKs+UjhauTPoXrfS/q8ZvVo2lJuXm++dV412S1j8u
GX+94K8l4yIjQYGL2dJHT8It/T9LRuD8gfIEyTEV53ff+vc1w/qDORIiE4E0hb8t0MrvU6vgD2ZM
EE8dxpG8HAb2fzC1st4OrcDlW0uKEBorlp9Fr/LzojEa8ZBUrnsctNkw+Mzm/D5ZQPpgjoc1AXId
k+Bs3mHIm3cWtEyw8Kr5hM9Lf3ArxkkOSeIfyQnsPsbatLc/XMlfrDhvC2DenW3y8XmDNgzPt+VT
iHACpmHoHLPBqZ/dxNG3cIWq68rVVFMtHuV92JiY05o6d1b//rup+n9eUDkQCDegHMBkiwD+MlX8
aUFNcKV4fdoC24meyjaiazn2aXiTh7L2YBG5/jUi7MrjMnn+lXbC9IPFVOmznqv5xe87GjDNPIlT
XODtz8nH2ZPn0edb2dbenY8pb1prDvjHaCzVtdWIZueYjbOaZR9hkS/R4DlDV75L7MkEgGENwD4C
zpSrEUUIA/OZ2O+gT4x2JZSHRTPz7E+IDRE60qhfUSzVV37nQA+hsrsniKGi/8KihOxNkFgdt2GY
QPZJaAmSq/LRQKK4JYfxodezLOg1tRQrvtdUZ+lw7DCS5ZwqazEcJoq4dW7Mglhx1U+r2R+HljA2
vGxNUiWgk/T0VGULatBAsXBNNhUeQjmpj+htfETGZkGvAoWlHuALBZziRT7txqTwgMIRdG44Nmsq
O3B7vzSH7swuRfSU4XP/VLAgcgr0TbkJaLJux17IdDcIDaoo5VG6h+Yaa6R4rVcgME3Ug9XXybZS
/tgfCZ8o4g0jV3WvU8Lb15YYCaVMPaRSNLujAIWAYni3cj26xjCDZ3GFdJr2aByn9rgC3NSvaOA7
fK2Z4Rxc0leMVeFw4B9d98nPpgBsjFfd5pXUUH9am04ACAfseYBmVrGprR2qbLmTCn0SGDpjz/Ak
fmkTe9jBntyBPBo2PKnhEahEeT/b0yAY4/TZac6CbBO4yn9OfNUc5tKct2HRKED7MMh2ioPrTH6P
zZmftrdW6wEz9B7gnkWwYqBPYWBFj9Dk6D2MCZ4mCJXJn85oDu+sGunzKq388k/q47wmLgX0KsL3
qlwUzy273jC7YuX50suW3O33yUXU0b8qPLIIpsB7MqBS3axav6qHdcQgNV5nOkKVHzQqf6kyyvlg
pWS2t816fGGIUlqrIQdqlqwAmtID7dpQps9sggWk0IrK+V3Xyeg09/PCaxfZ8OTpNKYCd+36eTaE
6tdR2GvJU9Ea6msV9VmBok216IgVJrCt6mVlbKkOppthsqpp3Zm+srb9wEH6/STqaTogV19Y0VG1
TBIqWcYb2Sdx85mxoWRyvvivl3iuiu7vmJuHmfYxW4GqrmVCuhB6a1E/dzWHtuWkxq2uzfrItC6/
J8x3WQzp6sPYSKt32dz7Z7uHsExcV8hvk8tnQ/3jvoePZ410brtoOVE53UeVeplDJPHAu8dHOx/a
Ws8HWKcNDUi3/jQONoev0B1oUCYjD/IW7Zs2VgBd+y9mhjHxBsypa57DiCnhurGb+plREG5iphHz
7rKUYyrnOjl0arcqWywauaGGs07t+bHoiOaqkaWJGUSyjsC1QrhzHGt6dvueFuEpGFKTv+UxQQbc
R5OF4RKCyTwOT1Wsi7RbGejSn8EtUrRMEgJ3LWfv3HYW75jOVm3sRuJQsxXBLM2+DeziHZNjEvS8
OqVEAlWmaa7GdA/IMJKrFNfnO+kWRK2iSqjdTcDcBnC3r2BxDSopr8mBohU98g64d8sGTYWFt/vs
tFJntCfcqN8Qwed/pos4TisuDtjDIp5xddSBN5krOsKBxNzvj59qy6hJc5rQCwdeVq+iwHSOMW3d
bT529ZfOUh+EHr3jQI/c3Vt06+56rxDFxgAyNewDBkYo3aktGSHUgAQcN4t2Vm8S7SmGiK6wMVXX
CfbQB5vhDIFbSe9+hUPkcdQVVrKrR3Ke7ZpKtkAGdu0U8E6iZEiuCcWS3Uq1tC91GzTIxLS0rgQJ
1ceQxrIPgCoyHnL2GYjUIpw2TkgizcpqS98mtbNDRo+cAzzZpPxq2lejACxoDV4mUVmRhOrGrgP1
iwW/Q3D68bKP/rdw/G3h6Hr/Knx6B+az/jlA07m85Ptpkwx5ehEhx0wMhZ5YuqLfT5u2A/xDwNh3
Ea7D8sBR97109BAng2ngXImXjhMUFd/34yZVJY8lSUnfz6L/SelIuflzfYSEULgeZeoFrI5q4s0Z
Le96sgn7ML3NchaWcE0DDOe5jHPvXRg1jnPneC0EZ0xEFayAKKQ85qiUeus8GupRn6ErwMLxiaBe
dfDxlLhPXoE5Ln2W3Fx7TKpRrFT5gefVHG9V0ZovpdmMbMl+R/z8WlpJgHcCWTRDqBqjbjDs69CJ
t2XSZqcyq6xvIq5QLcBEC74YNn0q7ZGt4udOS0haTB9H4Qsj4DjaxzM0TwG/Fexcyj6GsbfvV2zi
ZY5qtJGIQYVjfPBN40sAXGlTLi60ilqdmO0hPabznDHKd9KjP7j953FZXinn4GnIykvuJUhBkoNr
Pd3iTYtCItXHUm5FwyemipsVK3lbNJvQTIA9IUsGUhevVTx6X9JxUB86jAnZ2bVRNyDc8t+l0kRI
OpHwzkjaY8Cm/CSBnBvqEFqgiXzive8qVW34JqanaKorgh1D2E6TjuL3kFuicAXSAd3pxNs/pl6U
XM2jZvpDseUiO9XmMa7EsA2B5VdrkwGNtfMZvVAUpqL5CJydjTFus24d+EN5MroKbZvhAhvHMD4H
7wIYvj2e8IV0mc0pi4+vEzykGcsRaXuFP32ieGyxWUnurLVNUaA3MK/1BlicYFujs1gaWfLNlzAn
kjjND13q9LsxFgQntmm/obLz71pQmjQNGV9sbJIu73IPXgt52Dhdyta6I9lx3FZD6Z0ix4cwIKXr
vYzw7zZgXPoz6JoZsgt9oQRn+ESZtGsro7lG+cyI1Kx6029OuE7GoFmHZEShOF0mVXjiOTQ1t07e
JvVxrlLLWZmCWXlFWwTeA1PuzrlGXA7KZEUdEASQoWjdOJsSJ7m467uY72q2Bv992VRoXX1Dh81j
IQcf/2JN8vpEaA2FgrkozKCi+B3Q97irTwswJLzGsZa8lC3cT3qNfu6vimCCcTe4NF1Rgej63BlB
ej1UKrnyomp8tsvEgznbjcB0yBaZjjoGr7zIuisJCsQzk8MEWqFm3O0U1kpZk7LWI+45dTBl6e8q
1LJw1idgI0k7LGJ9GZU82VHApFc0U6o2wLkwkzURLezreU77FhGtgwsNia3YNEO5nF4qQ86rzKjC
+Nar0HesJSNQ/0aT7nguOtfcS6bisHNEjBzXcoxhnfkNA3TDT88GPIYBDFZUJMzATI8pURGMT3ba
1XsF8QI/ntndg8TM5juODV+NOax4pgyvBnjmZpN7VjVmih01Yql2cT/VTxpOs7MKGAo/zHNgQ3KI
Glnt+Y/ot0KjUurASjS9x41KgqrtQlxYU6LCVS7MxB4xg6INE3Ujv5GB/cHtveBapG43vx9ym8zT
EfU1wavRpDdBY7Bfd515M0eZfefQ4icJyAmzcpvFrGZuD/Exn9psP2sRnDIDbinB1obW13rJ6vLp
xxPZ0Mh8HwRRty2sODLWKd9VvYvxCWzs2RF3RjOZmF37pNh4YWZf1V4VbsnFY15kpIuiy1nQ/M3s
pGgKiSlcEQoRZ19k62fPmamMD0IWwydO9oPk0Og4PGuOHjZGNgtEUJ6hjtCL0Pgx1u22XtLF8oof
cJjeGovWhX5GMyG5CJhHneituTYxT47vNuBepoJTE0idZG2jTYev7MlYrEiGHQ5GK4GWRKocMYGh
DUTWV1dNH6wCUvweCJcQj2gOPzJw8mikXSJtw8q0D14w+neey9EwVkgGlJ1gzw05GyLAQ32CPRKu
N843fV9FnXMuShs9eCn90roZZV3fMP31sn3Q1uKpVfop1ho9iPJSph1WSmDoehhM1a2A5TOrgFsH
lJmu5H2Z1ZlcEyev4zu0/ZFEy+EU0zwdSuErH4WNg3szOqHdGIOzE+TW7r/1VKVSNf2unvI9j+7U
Pzfi7pP65c//deyK54pu85+XP/P48n//N+365YXfZeTWH1AhUYvTc0OofWGj/VVV+dYfAdRjKDN/
xYv/T00FOtK2mBAvwzKHzsNPNRWz64t6fCm1/oNWHB3/n+spIAEgJcjl4j3wvojn+rkX18q4l2UI
VtuguuGZSer3YY5OEt1QiOTCdp/GchhuQAGjGumbpyJ2jaM5crgkZBd7z5zkm6ZzyrtwKCs4P+Yj
GMkYyWfREmvB7biZe6I3JNqRtTMZ/o5J1IgY2D83xZCvbE2jW4/ymWjeG28sbrAGIWGkK6iYntL7
oqEDbTlYDTL91pt9eobbQ8PBb4CrVXW7Mo2A7FyXVklqzld1aN568HERW4zPy3MIRRAqjAP/Uar0
W1dkGL1Y6beoc86+0HsyTBq0vNW3MK9uRmu4j7QL1DXtd2geb/ppvnWy6QpKTbNmmopuLn3GjlZv
6nb+6qocN471FbflUzt1u7pgPi7LRHyMWueQygDVgMlAsu6AJVdGcLaUeMqH4tlHD7Ez4/HelPnN
cgUUdqoN9s5vaINRrAJJ24liqjeixBfeL4gc4p0fYjHeB5VGYgF44yiL8Cu7fbi3EueAVvAqx3V8
nJccZsYDXBjT5DCYnuxFIahz/eAl0/3YOE+JyE+cmp9lmz2j5zj7iaDs8Zxu6/CByJr+Vqvp1mED
3E1C7dqw4RTp5CdoXbACOP7CmGFQatdcKDuR0QpmjVrRU022aR6qdW8sgX4Nxp7YWK5lUj73FqmM
5oRGSmGtYUzRoTvmBwjuuR0781bZ454A5ysrQOdrDOZV4wNnp1vzTRT8mGulN3mur7AfuoegprzN
SGwBvDM9zpHC2ay8AjiCMDZ5xy8aUhpXSejM15KAknqaH6XTRth/9ENpuhs9VeO6SiRG8Dp9rpgp
bwtbfw3q+WogZwUnkEyhZPpPqTa/BK14FwINWHvkm0xENRDVLQ+AUR/m1j0g5ocrJ8UhhuRDrRsA
SFP4remTXiFUTrbjyPdJw12c8B8QQz0rRXVfCnTN5mMVW19DMSLi00DjVVycLH94aGX/4OjiW0k1
uDY9IPJ9qR9EZCUgB1Szo2JCAO0ZHKatNF1frrtVeWcOYU91W2U7JvDnhtzHnVpex+dE3g5SahTe
Ewq76YDMH+Wvpc+NbZA2HGHUhDAxbaQRDXeEotabQpNrDNDPXU+0Bw/UfMOprd3h2JVecNSDgRM7
mYotyKESzHcz7cwExifnn25tG4X4qqzu8zRI79oK0EFw19QpeECZJ022CctWbPx8Hp8jv8ahHjc2
TdjMaatHInQfS21gM5udLkxXeAjWhKaeoap/RjU3rHNdAJbDNzWLdNOoSW5bRycEMHke/YwU1fUp
qFVG47A9F0ZyW9UOCCnDeawNyBDoKd3t0LvPuprk16qyQalT7G8LDw6kP2WrZg69XZmWPWV9Hd1C
t8M6X3H7z5n9tQYMgw6lpHQfOCZq29oJn4qKd4GlDhQ6WFsMrZp5xzuIM/1e29x0U+4/+YYHa70d
j9EgvxmjvHK8/PTDpvOLmcWbUzGrOGPmJV+NR9+nW/tmSpoCf+2hrdYHh0MsBMJWLSX5OXVbij/L
+82U4u38ZvltBDhC53BMxwregmVwE/aVN/nVIeZR3wA0ONmE4q08wYL+75/r7SyG37TMQ3x+mUlD
4rJ7/aAYGX1fiyxq6oOt8mfaiwSOsRxn1giokcZdfeSfzNda5x/HwH8DAy2/M2ADZzjFYNd/cy1j
UYVJ0EWgBZSbbN1ueKg1D7YhnMNouMUCcDhhZbmSHavbv3/cvylkLp83RL6zSIos1Gk/78ZoNcaZ
ln516KDPbLK6DG4nZhzLcnFFDZgfzFB/HTtN734chlM2dDy3IZg/mUxfE05vcTVf9fESpircQ4i1
ap2BEbeD8Wr0WL4RXTVrGodk72U3lSdRyg/3uowfTTdB/aGdc09vYE2gSbgnZKf5FJOKu3YClod/
/6S/uIUIVzBtRECW6dpv2zh2kYZlbTtAVW3S22vz1gzn23KW7W+u6DK0/FGgsDwZ/CL4Rz48WG6l
N1c0HC0aJ8Fyr4b41vDk3k4WMmATl/uq4sSyQd9zo2KrvCuG6dZXZkkKO3uoM8ff2oF1eSlVspwC
wrL1VWwwvAnH/oFo8rOQw56sG7Vym7SkL0FueattqnrXnvZlbDfo5qb0qjclWV25ftSSbb+3U+cE
K7YEbaeW5MP0W5SC/6zy4hLyU++1kX2L6vkxiPvdrLCs6kYcEL4d0OynZA7NF3/bFeBDgoj7+daf
lsB5mz8bDshn6YLq9C1qrH//wn6xwiAnW3hVS6w0xsaf78zZN+rWwVBzmEd8C5QTmpUNcraHRlQc
/v13USj/7TtzSdbk2wI65r7VRUp7ImTZmSqU0AMBRemprH+3YF6epB+EK8t9gdsD0cryV3AMy3v4
YWUBDpSrwjSrQx0Oza5Ltb0G8/11WekhBE57xbgktx0CFe3zGIXJ1q+Kk6Gjj12WfQmIH6DxP0iQ
gpk4EG3GJhuyOjVTeQM54NvsjWLrR/SPCuHRfnAFLgQMc9dF6m3hA38IcOqvPPh9R2dKYaNgklmR
EQu8KWybnS3tZEVChL2HUw44006/uRW3YJvmN4POIWrRrGBcQIFq4YV2IW1VmLrXHB7v68pOtlCN
r37znfziieW7QKWGcMUENGf/fMEquwF/M5XVwSo4KAwJCXCpgj5uow+/sZgLAXJCSVJMwblkmAkJ
XZq0m8p3NEceA9pSW/z+tNKieeTEa9UbVNBPY9aIDeZU5HmDd44w6Kz7yD0nmKY2BAVi40MjuGHK
+Wja49e5M1epn75HGEhV1fKBpaHJmzIfJwqxVRMlzV4URHI0433sesvglPsTX9BiLBngbRkA5cuo
CPe2Oz+GjRxe8Yf/uHX84iFhz1j+B4iD09ubazTGLWTpcagOI4JuShxUjSNvxwEVETXxb74R1F5/
f04Wqh/LGqbX4G/PZOuICVFxXx2k3VVbywMSHUTZKWKnCi2+n5nhzopo13k12CxTWUYFGBfIxykA
ezK/GUGCSGN01NJxhcaeFp1CCxl86XIYWkPwrghB6SYh1b6uarERTfe1zOZ7XUDv8JfNmNssFvlz
NC5V6mivs9m8aXsQUbq215Sr24Fp307xlV6Ol/RNxSZ1+cGQVA6aO7yiIVKxiXq1KmaVHDUGxssh
KKo0LE2FgbfCPpUqDpIBCBGQRBz13Hl8kGTKriYnxKA5MNuybvHCnYSgWrPo5yHenDbLPxgl/yUa
lhuy6QdCw2S3XR6jTrvA6scHj0bOqnBzg+epMdZFS7VkRtmNbiEc+Q0/LQEQtJnLI6ai9jp09Vep
wP0j0KcRmt6kgjNLqCnFncJ5ypIBq6SDPKN2iXWjRz0wSSd7gREFD7BSxYlD8f9j77yW40a2bfsr
5wfQkQAS7rU8yaIpOpkXBCWq4W3Cf/0dWZTulbh7q0/f544dsVvdIRJlgMyVa805JpR/dpYkGrgx
eTrcsbtm+vY5VmN5mZnOzaCGjW2181ofjJBGEFcDVurKp7LPO/nRAlT9N/ux+xePN7WO4wRkUnBH
vU/eA1ibNhieioPy5q+wl+8ZXt9QX/DhOTzWuv46H7WrLjB3XUCld37my7jbzaMaV03Kj0FGIFim
JPQLHLk/tLa3ybsI557ll1uSKedDbiqDA1oG+jhiZA7PKfraGHlwjcklJvqTfZFoU3S3rOXrxQM5
Y7DGpN38PNiUW6K167Urkn49RV1GC5rKOuJgWE9XsQ1JGcGGbpH2jx2e3FVr4cmAww5HOb8e+v5e
OvhOq9ydtoxk7U0zLldFPGKqLnxo5cZCH3z+SuR9vWuxc3icDuCxuzcDmwiHzP7RJvlTV/Od92N/
/Xdi+TcdNiT+JjXZf++wPVT9XwYTfP/B7x22gLElKequQ7nnONLVdd6PuaUW0HIyslGeS++N4fBj
bkn6AJK2nwW0P8aW1h/Sp3nMKQCZtjABP/yDNttZvfdzSSPAYUILR77rAndC+q5lrj+VG4FQrB5h
Y1yhaxhOTFgL8tha56LIl2zrEZa7wbBs3du5y0y/QkBlDnNwgWCVrI2sGh+JFCto5tPdNpvO564U
g7PCpFOusWsC1XPLmHis6D6iVpT0IGj0a0GVxEfaZ3cjVliYzhE2xIzngpTNif1Zr52FBqrJjO54
I3ProSuJNKprSwfNRcWNHAf1yLgRO5rXyc3ct/mrMJjn+fYTx5E/7bprVsTYnuZg7u5TIIX7ZiS+
jLjcvrhPEKFcYn2HOOhhYFqBqsj2g70An8nL6TiPrndRRMSspWi6YNCFwa5Tvb1Os2pxNxEf503r
Ghb0FEmm5jBNgFm9qeGkOYtyPiyYi7Zo10KyCBrnKFr/wJzkvhbwTW1WqesiM6/KcCrYjRBRRahZ
t1kM2A/DXrjrcG2uuWGqrV+aZLNHGR1EnFDADNs1X1ZxtXQy23mO4THTTd11SIbmqpdevZsscvAO
UwnVde0odGpZvjw0Ttlsxjl+DmbTeqJt6V5M0hs+lWZFFBxao41AAhTe1O1siW1eQcYDkAVmUlwN
ZWgvD2VrZ1m/TcbKN77C0DApihDRGcuuBxDNeK+s1LIWToU91cDZ3K0Q7mInsUufjDcso4CuG1Az
LUobNhhLtQfWe2LlirJkr8GDdDsVyNAMzjgdQ1yjiLuVvyh7oPWUOEcva8n8NEnJ2RrZQheBPIAi
p+crsxtjZvxqsJdOE5kajISWFk7nd5B09saV5hcpKNP1G3PaC8vOhUCtadTtciZTB6pKNKiaKOE2
HU/I3op9+aaXJtRmGMYdwkBB4L1c6ra7D4jnmd2nUfRKPBjDzAgdm2WaFwFGcGBd1k5wfiAyZpWh
0RHT9Uiefd3sQIiXsABzYX7A6jydRmLBCmTUJQ5SKzFTlEZGxMAXpHK4NnpFWw4XhvEcZw7oQoQt
KBw7t5iuMy2hX5VB80rstQ4vb6zwvsxjJM9I8ZsaO20dP4cE9RQ3Rjpb5rpgFna7DKM77OiejuG6
Z1RLFCWezUvTmMyDNYrkackbXIUw62ekWDEIflL9iCQjYhOfSePan5tYWps8KqLbJp6bW5eoSI1x
YeOLzXLc8wIY6QmloYMNmKIyR6w1Mxl2VVs+M5XE2ug1pkQDOMNvgAljthdWmoYX5G2HF37tGVRQ
qvOYPnckO2FW73BM4bXmKyfdQJ9Wuhm3uQZRCtXdk/tT3iEBivYeWqPYHJzbIB2ixzBn2yUg1nJW
jREtb06wfzfEv9sQbboiv9sQH6EMflPq27ef503220/9EICbf8ArwtRIy0O7Qr7vhIH4gzWJfBxN
H6TF5XOg+L4TgixizgTVW1q09M773Q8Fjy3/YIPU2p6AM8Y/zXjGgvb+1GIF8EA59NCVEcC833Vk
vLm1jXh0ygtjyFDo7QeykNNhGxrjaK26QhCjo41T47HT3t5CNRTy2u8LQ8Q7NIVMqEhDVWwt+qA3
qsEjPGm3sKt9w1HkQi8eW2bHkTt9ZL0i9Wy2Hfsl0K5jS/uP+8AZ1xjwJAd077Uva1zKNuAM5KfR
hlCdZm1qNzNO3R5EihDwe2zMzkswqZ0TIwrMSx8zdMowXwKGgGKkiouehRF6hLvrFTpp0dEiHtIk
ujW1x7qcE9Ie0OMBm1ASEzayp+pjbPbN3kIcegkpluIXCK/7BXEDJu7pbOgumHxfV2iYn3BY+MeJ
w9V9P7bWpsy909CbwbVIyYTxCxCkeaywFNsZIGevHzZZQu85TEW7B5rCcTSRIFPxnVd15V20yJF3
LoGnK1LZzdvSCy6jMts41ZTdQe0FqQcaZ8XIxt8iIq9WPd6Xhxa5/XZspFgDXpOEZk7qoleLcQiN
xbyUWWxc0heot3Db0Wswvt8oUqSv4apgsm98A93SSN/MTGq84NgTjlFYOHsJpmdnNWRU0hxZTvVg
qWuPSEn8z9ajq739M5y0rRoRl4depk5LBnxxBMqwc/uKjNsaQoDUrIAeaABgnc8kaqo9uvb00A8k
GlH8hc+Dn1Q7FkD3FaFMNtM1sdLrCHogBwiNKZgmiAV+QSZGEvv+ATd1u2tcC4KhgHHg4xPQ1QOe
Qk1A8Nty/DMa52C36BiZdRNi7+S5QXnGQYgojrR+inszfUISM78YtD9pNC6OuDYqsNe+oRMj0JOB
hQhADdSRD6fBgthA7J5/GQooDrbmOeSAHeIz4oHGc3MgtzQ7TVVDJB0CqVuraIMr2SRI8Ml5QxuQ
mEbhHXqjT+ZdS7TSsIJXAFxi0ZwJ9AW7tNToiWVq7V2seRTWGU3RaEoFpA2gj0sAuoJugijXuQUz
3R4pSDeQd7yNopmwmqyluENne8DTmq1i8pqvW9d6qfLGC48NdJP4qjbzDy5huvdQrPZowE3jQiW9
DK19TkwOkqEhGMvg6yIh3mwJml7YLCd1p3rLL77SxQ6XoywZyvhd/+TUk33XYjVo+y0hL48yVBwr
2x4nf14Gl2PlWYjFQwUDoEZnBAvHKNJxzVYeHWpJMfNk5aMkBtmBftnFm5K8Ou8StrmvDGR0qSVu
WSj53IuhXnahm9IN30JDF5+WuBm7tYD6cUPgduF9oM6wGoBkzmyeSkrJ8BVPlgJRsQQrVjh2RGnQ
Ue6rB+5cJ4PzVPQ0myAOZeCcMZmvRBekXzwjnI2DXw5otp0qJ08WdHyfbQbyDzF/TzEilDEqoJnN
tfOSYcPhThGInYk96cSwKhuM8LgK5OssARDumYYi+KH765WbwUioHjoTweO2dDIuueRRi5hN+0ht
VIbFOlM5fRwxAmFi7eOKXYauaYW0G5EO+OLU5lwelNWtB4mxctczxYvdXcFPccSmIphhFXmTB9wq
Lt1bkMXTztHgKSHyAZaGw2e8dkECPeY67566XbWrjHh1sV6KYGS+Z7vXZSCbiywJeO4nJ9w4WS5x
tvW2t+9NK97DxPb3Vdxmd6WVH5cIycSqNZ3qOMWaDU+ADmrlTsbYH3xPC3kS6BF92aMpwoZy6YMP
cQwisXlWKTPNyE22LaANYydgSjx4OURY1wLIubZHXOSuUZbMvvvq3h88jvRuM3xCO23NK9B9VzMW
+VXetOYGZlhENxje2GpZekKvCrXMX5u5+cIe1d7QTHF3I170dYJK3V9ZohEP0WKGu0mk/pMjI3WS
qHPYHMocSrOnbqvONygQZ3E5lCL8unBkZcpjbpTHWJ+lMzxgzRMfM89MNsC2/U+D2UzVqgutmhj6
ZrryFm+5pkPrryCkIL8Y5/RzDDb40mkqVOjRtOuMUjKrF9BcOztG8JoOttymc7jcMfOAjItuQOVl
/bR4VXcxu0OP97skCW4oHKSTJsTTRSGFGzmo3AI1owPUTpZ/BZmohmhlI+0nWm5Fw3PCiiydlWUm
sIOIzrpDjkXGEbKQrUwDWKK8gV0NhItCdJQxS+MiP9oAgdgLnaB+GXyru+asY34b0C/snA7dV0aA
wMFVjf3BmLieFVTRpoZttUuTut62ZZffZGJsnnuew2v80u0dPKfgyBixXC9xmR6zeAJdYMfDTQYu
fe0wYT7ky/C58WVynGUcfwirXtyEoQlRMFUulUCxQNn14d5XhS1u1IRgb53w5N85qTftATa3L0yR
QBq72cZmjn9i/DcRZlH47kURqAARqBYwcHb9MmLDWdVTIQiNqsRFLKIPtPtccIMFWP2SIDlE+Tba
mqz1qbuNj1MZiu0YV831VAYzGnvFqYbdH9I/iQIbicKDDqzZPRkWjCZC4CIFLhCAVWBgQFDD5HKU
ZKa4Bro4JzrJjzlCQbuPVmbmmhG/TYw+8DEe6nboNgRtOC/W5FNTQHDDxCNSVoIWlwLajgFWifdg
Q5iJ2PKwgUbxo3LnOjmdi9Z/6/u/q+8l5srf1fdP3Uv8S2n/9gM/BPqCME1HoNoSLi0lWzK4+tHo
0pnELnNypKhnhT5Nph+NLsRkWMdNpqD/V5lvewQQC4zJdKOwg/5DJdl5YPbTQI0UY8bmDCOg9kms
APa7sTnOZ9LYZ7xPASzCJVv78GPmHU4tNrRC2hfZNGmIXATbSzlSvZrznOwnKpi7uSnbQ9sgOcU5
RPsfks32TPSM59m5I/BSUUJVsIhDJM02DYFhORSFS5oMzYwZvhEl/YDI7ikmtKCoDyS+IQGJMAjS
MM5D4zYoJGpxug6tonkAxMunc+XBUTiMjOKn4SLyeuSXF6HH7BWljt8MD/XAh/xglNQZaJWglW6j
dCSyjs8SO7QPinEtuCyLXo1fOiosnvmIXDs6zoWE0DnmyU1YFPG+8azFXo8Emj+WhYXqF0nwgTeF
zAZl3Bdig5NHP5UtEJ4iTqnxEA1PbXOxIKze4TXvX8Kk/tZYoF1XSdYmtL/JsQsqPNwEBE6LZ5WX
KcJ9h04C1giMQyMeu+bKegsKhlg83cRRRlwwaX6axEf7Y34wZrMnWRiyZxrtQlk7lre3EPb3++Et
jdgUUWjqZSgbmkwnoIukva4RsHP4WRVM9Ivh4t8F4X+jMeX0+XuN6XPSRsm7SIHvP/RDX+r8YWEZ
thGJMtjmXM/g8fui4Nt/uJ4HBQJvt+M7ZxLEjzN/ANzY4bTPIuC6lilQwnxvf2uCMe4fJq+u51sW
J89/0v72zP8483N5Gw+QSzsCrsL7abs/QEqrYIoffH8uIfINFT4aTelbyrk5JgzL2QM/z6UPyo8o
7vhJ9HW0ltgdr4Af9Td2RWptoDmAjhea4bZF7XEXa05gq4mBVQn/j4hI/6IJu8cQgJze6poXYdc8
MZuWD/gJklv5bHWsN3Uxst0NltG+OmEJ6TTG5SnnyXkpRaMxK5ZyXuza1dWxxkt2bmV8yyZveiLo
ppi+0SgJvPQyQWx9E1fetmVIigM4vRJ0BP29O4TlIzNAVJyryOiR1HSsORsrroxHQzoMqqlRhm3t
I/j3yO9YqUKr4zzLnm7Mdso3Y8O64OZdMVypbvD5WPDRHZB0RMe0Nvt1n7l6ZbO0gt0fR2dnNlgK
yBn8IoulvIpwiq4cf5FM0GX2sU2ZDTtmKDeG5zrAcu3xGVverA9pnC0kcb10dIv6LgwW4eG/jOUF
a6LxqVM5NCoUM090AWNaCiBmSEIaGu+5VsnQMXSYUPkv7QKaa0pDSF9hoKUzRLp01m2T2DC0DMxn
jy1110vPKorkIcdVKiPpH6ETmI9kxOhPOTP5LICxmo9BhvELsPQI/gZoHdTK2tFkVjvnBNRqJK2y
bSy0XqcA4Np1CT/XdwaOSn4cwLUx2gbC6Fj21ZXZEvfIwssfc5DzhDDULkcixtP8vTku+BnHRp93
rDWK1AqWgoFAV8BuRkCfrM/Wim6QeFXzmIJ+cyZN+1WGxZVZTvBs9gatnNbX6DR92CPP0+FtFP3A
uJaUo2U/dQFeDQ3srCe4invZ+ZS97aSWq6BkTLCaC5DPJJ6xMaZ0vTUqmg+Fw6ZMr7psAcKKKYMX
MHIAiLZkRvDpFkMI6pnwGMRe4ZCRUktDDaM20B+58b3KtW7CQYNfVYcQ+6KrB9hCUZV2r+DbOKVg
D6YzPOlfS8UJ9ClPUzwmlUHUzsCpSCNRSZLn109QSYCALAg4VmCS+ATbUSMQlgYD8hlNO00xX8ui
gDOQTWHgQgCjuQqB0t355Mwez1d0vR4002BA+4XTx73ZDNoTl44wgcc2AwrH5I4ugxytYdm3rSlf
xKypqxxkqitXtPUndj86Go0ztQcOqo48ncG5ma2dUODRGNKHbg94uLFQ5K4iO+dtzQX1LYw394Ps
0tl4Pr9Knz03OuQzkZ04B0nDQrvlcpfBeTFvgpb8XBJlFScbhYAHHjjSiOWhQ1iZoe7WXylDKf2Z
pLNQN90cVFdwmKqrua3492DWAKk3yrNRAU/LKg1lRvCa7L0xZ4XyUnhLshDmvNOsuz+XxeGOTF1D
31OmhX02cgy/2Ff9oA04ZjH167jOJohOWTduusBaDgpt0T3l/HQ3pHP9CQ0qIzNR9abPfVpicg9k
UB87v19XtQOiwLGMBneexZyjL8oIpHSLog36RHiVBnPwzJeJsVDnwdyjAmYSkLeq/gTgXYU73P3T
w8BdvE9Hv9gtOD/XYog0irJTX1MDYTMtNNjZeZBPD75rFGvParmxrRa7C8FglXF0hTR4d0VW2aul
ws+27vC62xsnKBUcY0QQRDASY3kYzcD72tQptG2zrHx7S4GHw8dSGYboKJUXdqk/3xlF8HPreawg
PcddLliMt6PpyK2k4ceMqENrhfSWGMGilfWFPSU2M38/jteIJKNTadblfT7gUwIHgNsZL2hsPQXn
zO+xnb9Jr7AvQ9wCh3Twzdfc8c5SvMnbCZbAY9O6yTe7mcZH1MTzBWy3YouNLVwz3HrCItA+Uyuq
DfF1XbXKAzjVs0nvEw9lfjSncuS/TeVO+MW8LSOxfMPARz61PebqioAQTwPIvFnCzw/tT3OWqqsO
fgVYTRCGF/2CX4Day9k4MNN0z6gjPSIJF+/oRA3D0rb4hsIjltvFbzlwT3MDabyb/Bu6TfcwcMk2
5zTAgBPPqjKPOX3C5oSLK74YRLDvdFNnAfW6UU1WXyPyrbDp9+FdObSsJrO3KhOj7u/NsvxoRyOK
6i5QS7Qf+sQ+1hn+qKewtqtnqBrtA823u9gZGkiO9JrGSJn3ISeUh9KDKZz3U+ffNmjNSNvJ6y04
V/ExssbpSob+40In/EPP+G9fTU5FU2csK52bxqjpMLQQODJ7PEw14ZB9bd0pFVUrt6hjYr9ELOB5
L/l6DsmYPKm4qraThTsrT1sTqY3dTqi3idbeQgMpSSwO4/FzyFE9X5uyd9KdKPqehmiTEydmmDIn
f6Cp1v4kukerzPxPicUkn62Q9Oc+xYRWCKO+GFxINGtA7Z8ntverkUjim84Sn8fWb65rukUdrY+p
dtcerI+jInRuM8jAepjRo13NU2qeMtPt/oSh0X6eg6hqXujc5MMJU2cI+JH874soz8o10XIfrXkJ
T3FshpsMGdeKUnA6Dh05QTmTPvpY7WWvbOOWSEW65hZOFyCtxTdEadOxWZJ0GzqzdQIHO3yiFR5u
Igxud0EdOLdTP0beKisJcSaU3KtvaFdm11DFrXIT98I4welwNp7sxy0fF61c6U6XtSrKz0nfyTVa
4aewr8VlJtrnji1xC0zV0TOATyZx6OmYqqMxO/LjOEY2Y/xsbhmzKJOxD95jFcno1var/rr3Wnrd
iAkzz0JTKUy0e15VTzhb407yDn2yJmMJ/wDfQA//ajaIOeBWEUl8LEYfpXhufghT6a2i3C2QAFVy
XaIj25BYk29MjnWshcwgYpom7BRBuGwi4tjQArOF71CLCJjLVm2f/Ei6MMbb7qFqZc9GX6J1B3JD
WtAyAcDtBmYzmbOq++jJFQ1Sg9ZIoLhOcGPL2QGsUhQPSVqhFE0pP3YWvlzcATk2xlpoekbn0mqb
VRzf4f+ADW2L+VG07XA1K1ujcfjBwY2YBDjeAO1ZkQ/bFcHJphe8r8s+5l8tWV/ZxdIASWZ6sZ5L
NW5JpKEVF4+VednD2zgliSs2behe0BUFGpxF8xMRDYj/cD0+x338EfVTuKaB5lNQEDH5NNQBog41
ISJplH3p1sV0mEQEMx9dPGMXl+8BrspId7lAtY0Vu0dIPmcxPCe36AgVmghDxULF7pgjHgTRUuT7
epT+cx3wxod6ah/CtPJ2amrCdMt2OB58okE2pMGi9YrQn6uygMfoloqM15g8sDmC6SHpexNJMvdX
UyurHQTLyd7xM9O1V0yxv/ZYb17Tpnf/9PN4xIzkOsshDrr8a+150PHbINzmurSqC0WQ3jBj7JBm
QWyizmFNjKbepjSV137v99djbVqbEMTyGj0FAzVAqVcQEoebhTwT+4n9Ddl4ie1hWJPaVdylXWKT
NeBU99h1Ivc+D+DFrx0jaFdoICkLylF+yfA5RLvALZm1D4JakO5cRk7J9BAN+XQk0k9t5z4LpnWq
/PCkKAOu4UHVrLyzHX0kNb2sUPYTkYiP91MEguB+CdHQrooo3jVZPx8d5Tg3TRk3kEibxsCv7vSX
dpV3VxMk1b1fJtOd6XTqMR6Ly2Zsrmp/mTbg45rbQlXqKxAgsR+6pr1kzB/u28h/plAbdx7++cFr
5Sml74DtdsgyUsxwDuSXKkYSvkuCZYESJYmSgIlXVinuHXe5721Rf5myIiffM7DyAfYOohKbKQ9z
LOY9Wd8axddZj4GMgIGQEaN23EZ14vRf/K5+rPu5ZHDUvo2RCoPF7SKcENrHtndfMW+qz5On8jyF
skvx0o1BfT0hyljhAmv6C7C9UFAwVRA+m6Wxdx+gchQfEgDveARJPCvDu6qG/e7Q7GiR1Dv1+GHR
ZHhpt37k3aHjb+7Y/S66N4r8T629/4VxB8ulnqkTI+MCAUW39qsuLMJLMCMnag9e28qL0eYk6iSx
9bjM5NUErfl3zGGHft/PQjSocNImasxCGCAYEbyXcecxShpHqOpQMkI8djGlu2JhfoHHwxwIU+dX
svukvMFD0mPbbGFEAzIyjbiAipiSYXDGrbpNKdvbotX5PYZLcERLf+p5iAl2GLKKAlAuZUjZVrjq
VYCaDzjQy255sFwd6sPQoj0kPbkkXZ06LzjLxu5BQepQGB5Mc1Tr0qXL+Jm01jrTRiYObFHokBZi
RzpkgBXjsfBs8iPyWb1yy5R/+stQPthBREXfNawea1ia9SdBSsZEGOrkGXrtFBywTCM8LYTKqV0A
l0ft/YgMn5m/2EL/qYlgaGMTfagyfZJj9Fn4nE7x+y/9vb8hAMvnSjo16Pxw+rx3+WRUyKGrRAXj
WJ+XYd1zNuiRLEVvLbX/qkfXd89PPVm+bC5EYgxlAPpH6/3d5bec4JqcC+UxyRw0JwrktWXD98Oz
p3M8dGZUBIbYBaiG2+f3b/M/r+4L20fsQQRIACL0XUe4psfokbRdwSGumeaPSLgTiLfUj3l7qCYy
D1du53EIMMaCY9vvL26+F8cHoEMRs2BVMzWb+f17H1PHQLLXVgc0Jvz2YYyYr8J9sR7LVHFslqaO
fBnkjFk10pBc0ZY9B78y8vIDiAHz8fyC/p13/M28g7XttyjLTaK6Nvna/U/15/+wM/TFl1/DU99+
/kej0/0jEHCGfGzxsInOoKHvjU7P+4PzA64eYb8nW9o+DCKJ1Ainre8j1uZO/NHo9P/A0IIKBPPk
OeHtHzU6zwaPXx84ZjMssKyvun+q3/nPMl+ob5kZz5M4ZFO1LqI/88i4neaQdBiN2C4PRSIuFZEm
Qdh/NAmvTG31N0L+4B0wl2decGnXhAkcMIjR4uqfX0LluG7t+5E4oBwS2PkeSDynZ9OrmlOxGEmI
FDkhqeF1TUTj3sODtx2tT3KwGJ1uSlQP12IxViQBoPLH0ITGqtHGQukMKxP7Lsx3eo/1V8nwk5BT
HSa5MrLPqbK2+o+zlLjn5ye1VPukwKJpbGcnOMgKBAr9APfYkOCF8EiAGCT1lGbeRmT9erbL55nB
QsvdcMCvt8Kkv5KWfRX1o7dCSHySNPxwW/ls6wZ5oqm/sjtbbVV2pL1wWpysIUfrG2olywi6kxt8
Mm1jqyLiXhWvoUjpi7j2WroegQIBVWRMoZwjKi7W0DHvJyN8TBuiezKEZUNXf+5Rce+TvL+LlIff
tPyy4D1BVrBugBTs3YUXMmLmoJIpvxaTFESF0muZxfi1lNEmcnt1pBiHXQBFs3YVF1t2SWbfRkUa
rf9dWP53cxNfsuj/d+fAhxcVo9nrfuWdUW/pH/sxTjVZUUyQYj+cAzxO3xcUE96Znlh8X2Z+TFIZ
vwpsg7pwYw8/s3V/eAacP6BGmzarDNhKyjnznwxNfi3UMB+wbyLNZZ6KLNNi//71OQYMxhhA9e6p
GAjBW1O49yeSHjt3NY2N+vzTB/MXZeivW/X5YnjWtME6kPgh31eFkTNJQhc7eYoNeornfMIZ/fcz
Fi69S+taKhKefAmGtD38f1waLgkjbe22eF8lJEZmTl1lyhMCSy4dtDppYh5RN3CuRLzkT5QrkLno
5cPRoPn6+8vrIuT/rdj6nbPEMfvy2R344t5f3rKTqERVbp/ywqAr7Rscftai66lpk0pfbtJ95N9f
0/q1Nvl+UW4VyUgenrL9zidY1sBDozqwTo5VUo+gNbqwCpdxCVS+4LnuCNyUCVRMisKeGjXu+u7V
Zeiyzw0iylmDyECrGQdMB2W0ZKUtC9Wc61vUUqEzCPNqOAcyJotOQiDNgcp+yksa5L9/H79uNW9v
4zzRY+6IjPF9VodPDEc/ebF1YhTCvdJjsAYyTrPfV5RPkDuqqylz1Ovvr8pU8j++MfDMAZNJHgz+
+euDwYTCSyenNU+pORDxcE4p8cr4T5FOzQla2HTvSPIX4eYzbzonDf7++v/5YHqUEbYPkD/gvnn/
rAxBUEIPnMzTOVgj0Q/MDBf2LhqIsfv9pd4VsedP2Dap4umEcsH/cK+Hs9eVQvTmSSbBdG+AOs52
b1mroU00K+g/+TJAk+fpFIyvam/kYSEKCxUFity/+br/6o2DCmK1RORA1Oy7u9aCUR80IhSnvmt4
SCRxjNXR6goxwPIlK+P37/2vHhKtYOe55H8eFdWv3zPFhiBZZbBQWiF6KueYAdR5JNTrYMmi1ROB
geELIavc5eegu2IIpmg963wj0p2W6spwia6MGBxh0hGWf+wyQvnMjiFwHGOT4bemPGUOVJ3xMsB8
ku9+/ybexdmcv0APCjtid7YKlCPvCsI0j8LenwPzFKLGbnYLx/zD+b5BckzuZgugAaIc697MB1j4
sGiiZOFMqOagOeAm51ySZLLJ98u4EGVihkK9+q2Y7n//Ov9iFfSQEnFQ40BK/+PdyzQmOGVuKM2T
g9Gf+Z+evJk1kzdTR042eft3d7b1/mZyaSKf4Qx4DZD0v79i0UVWKrJZnUZGBlfMXZ0XOJL6/2xm
Zr3OYm1tl3RIwl1pGZDmHaM3RHb9kICBrim85u7VrgbudB1RKQwegsRmrgy+HKes/ohA37F5IUwM
jopYhKsZHP2RRBx5YXm8oWVmMvz7j/Ht6P7zdsJmTTcDrQOBUhw03gsdFj8LPM640Qly4LwO6nkh
z9Iz0lsU0nN3KId4GAEMDmm3sRwgiKhGSafZBbAmU4pF1FrrmdHG2kqtYSuKztuRhQQRMXZVbzID
iWZ7hciYrrWwF3qrIh6Np9ooom4jvKrCV3SGLCLHoD8M45InI9UERrYADWNMGTFKvy5PvcY0+qpI
j1bhVzdDypBp41ctTnV4PMZHkxwmON1z/lVkytzk1AHQnojFIvR9GuLXGaese9nNcblJOvbvS8Qc
EDUaO63voOWjN57ONEmpwZKOB6WY3r1n1M99mafjxg497yHAwi8wDnMsoE9PlxVdUQSskfMf0wG3
s/wvWINJYS0L1WWHBdWlxfi+l9iZSDmjEUjb42hFPef4eggvBR6Wh3kckEh4zALbE2QKIJmp05UO
wk0LU0cBbLu+86Iib9foVuNw46cI1KK4Z9vNuEc82q/gBHXIbIM1ONpSGpAvi0OKV6ezmVUgKRNK
n1hNSkCtI6mJVyKtjx+jZ6fjgHXqLAAZ1BITjX/vCOA+I7IVgpMJ0nN5A3wSwAjt07WJq4TDCQM0
egOC1snkX8goiW8GYFpf/RJ3G8LamMCRBHQymLToprUkQHdOdYjuaIKRdfuRHCBQX4MP9pE64AtU
0oq+EpoDL7DCHQq06jMqVecjcmjcWm4dv3KjTN+iPky1HiUqN6Ln61nHYVfS9a0d/NDesObGKsid
Jppsmoi7Q7e6ArD0KhvhricEavUj9NUkw8LoM6a9LEuIAY/eAOMy4AYAYeZtCq/wtZsQKqPvggzA
dmfxT9MaLTz1sGsNEy/EbMwuBOzMDOqPRsxEjZebpWW7YYRZ+DsDHv8+X5zpvqLxDHtVM8ZE5FMM
sYLLlwYuo71ViEtmeuFh/jQZim9sDhGMFPPMeH0ghZtZvB7LJzN3JdBUDus7iS0QNZ3pES+BbwJ1
nbnwpTK3MdZCtP5mDEiERFKLJAgRM0t2IqNT76GKWC+zK19CRrGrKBHUq51OX06LEcBUuATP54Qt
RSv5gpkJC49kHfLIlNsWLaAspiIxGoeisPn1c6OVI5w4qivKOqKSXQg+2VxUV1mZWY8NdB7+kg4q
7jqk/kh+vRBqgQwAyBOJyn+Jlon3hCKesMSzRGHxtGjBd/hwWksHJ3e5zd+gu5ne4N1giaFh5+tw
weAYeNV0/x01arCintdIajj/GDpsomfVQlj56rUJ9Ed5FrsonLqw3vWrZWbKXN4GxXVXkQNuEUCQ
zHfAzfljlrt0Vs85sVFEtxhQlomfnspw1hqfwVyC7VmN1CccN+w81RHnFttzN9UjMZBUj7PFZ28W
WrDCI8mVsnhQr0nFzQBtQb0O7UzXF20MuqVscF58HY6LVlW91jm7bRNEzac0K6h+p0TN9+dCYcka
QrinNHffdNDnnOu24cWgck9fmS8yc088277AciNu8DwYZOKGCMPbPKuO3EZ8d8zyKN6rho1H6SD4
kFckUkERXsHdR3OVkZ3dayDfnCE224ZWQJWudIow8oO5umhUyysf+BkiwtFmMqM1WnrX5wKn16VK
tqDbeTv82HpPnol/LTbQYiTmbiNrAByTFoJvxJkRuxSOJKsBoOqebYcXWFt4xsh7K8d0C0s0/AIT
jYuX50fIDB2SxQekppRB7DzQdMeTL0f1mv8f7s5tOW1kC8Ovkpp7KJ0PF3uqts+OEyfjeDKVK0pj
EyEECHQAwdPvr7uFg2TiSdKuGtXWRaoSSCO1Vq/jv/4VMsueCCLAueOvYWxigBeOi27LRKjCEIXk
0tyCVEIN2Nceb/p2Udj+NY+T3dggfe6SbbVleuRkxt0CD8ivwCuYt6UQT3cxM2+NeIplSmEUzM+n
a9xVB0hN9X65iQeTqzkz2fHSPKhYT2AFBAlCJp2bYRYB2X0nFTl+k3F29Trx76dpsJqdl2KyOVk+
ZESmuidzMLAnNIzz/FIJwK7EUMkENuVTxtPDZrylnLCCg+pm6Ymfn2/AIUm40qw0l1+mZga0R5QG
cPdXV4xh4a0mzFY7m2HI2YcNLmi4YO78gHTfx3obe1EewOeUQixFa2KyG9DB7nLi87zgTqQkOpT6
ixuGIwvZwEc/Vwg1J17FxceQwQeb6yATL2i6gvHuwsoY6c0Q2vBzUu5qaGIJRwuY/0qcIiuo8IEs
2oU+MagKtOJ0Cm4M6BBUJFPCEKcOTDCI1LPoNdya6xP0fMiU5CQUSK0l3vsKSMJH+YRYInzkwkMD
5RlUIzLg3W0Gyy87ylb365gQNUF1GycbQtr7asU/ZmIo2XkpvLQdPOYkFCVWS5jN7c5AopYzSD/t
QMLD3CV8HlZAtrOy5md5VRHJiF3L6RUPz6Ybk3kPubidicdTpGLC+LIqOa8LAcwE+cCx2m3t0Zlv
7+yLqpgBdXLpgXiEx4XDZUFPBilfkTMxZILI00AGOvtukow8+3wDuzUDSxiTde7CAuLe1fmG6RoU
Y8HcDXLDjRooXAKiT07dA/rhXKerbJCdkzTezN7O1x7/e1ZNrNUnGM02eOyjlI2GepKx5VOp+2pr
OrhkuDVKHlckFiG5UxKv0EWS3ezEBihdJAL39dRCLwjFmsc+FkfK7iiuMWt1ucyvaj/Z/p1jhv6Q
8ulY1ehySiLgcr1YOel7vwoQkcCAhtKBH+vtJN7SRqIEYr6ZB1+X/jqlKJ2v86vBFDLmmWgni8kY
30up8OpU1NCsEQPiYR+7NFcL85aWb45OWohBHFSnTWgNXQmT3EGM48NHX1xC7gRwMBEPpOo10D1B
d+ps+GyLI5Sfoe/NW9PhERA5896deBljxWcxJ8tnjO+dBcTVvsiWCE01zdD2dmJ+ICkPd/Zkh1Ab
AxNkJ+gwxriLEA8eC+o02chns8uRhNKRgaV71t+IZBAGaHECU/MWBnBStgWDevP16GI1ALRxvqjE
3U4rmFrO7dWW342X2/puvnUICZaEajTKA36L3ZjnrrZrGP03kGQMzkDi1+ZJji8EpTZzNeqrslov
Jh9M0c56zSxP8zY31tyFG5QCWJlkSLthMij4vnQrnJB4kIafZZvdghZGntcPNx+dyvI/VUE9/0Dv
1MNkMBqcMhi+uGLICP3FOZp9k8bTr7FNAtsXvJG2R0h9us5sDnANWJfOJyzSNtnsTktSniEeytb7
nE637HOy5IVm7mZXXw6qqX1hLBhYchKvMgA0JLivaZqavredwjRPsZrzayL7+krA4OAdWy4X70eZ
nX0N6xn+gmdBkEejBxKWFxbzAeq6KI23UIGCRZ2OIJ87DUEf3UKYDTGpNaOlbZBZYtCmz6tbzUDs
fYqnFq8nny/5cxWabJLtMlOTDCC8v/Ymv6K3CL20WuPjzIVLt5oE9V0al3h49WpwyoRizowIlFNK
lzcbO+SohpMVNVIj5/aAu5FssjL8AxCC3GktjcmINrcvNE1k6TjDx8S6gGs6B03IsBx66j6PoMZi
hJ4IDGMDVk84HKdiRmuJTsu8Gjgk+TTq8MCQ3yVhTDF+GZq3EvRrMgr90dptgzPPFmBExMm+WHgW
9jOniEzDSYy22nmJdS9n5Eq9GU5TlCN4fPtcNriAS0KpL0dh8I4ZzszQhbUeHV07yy+wfWxOshK9
l4N0vS1n9Ggmo0H6dpC5F14sNPNul2GBiO0mV5Y7ScbO2jOKG3dZceJK0VNMASR8x6gf4WGssptK
wG3n6SJwrn0fXPc1AVtdCnInkBdVlV9mUK1czBzLCohVQCgb6c68DwKTlJ0bopXI87Al/nSA2RiN
LCIJWQj3gA/cQ1rinUkU8NKtOQ+7GGOkXGbXmH/1ALSckCWbGxdxOveDc29bWhf88uSebt76Txhc
d+8m8N79CXYqPSs4IWhnop3dBZDtyj/xvblhQeO+HHzMJZc+7jS8+nZu11cWCNmHamm7j9Ow2o1n
eJVf6Q0qcLc3gEzwqywyF4XxzhQk/TNB108HhJefVZLFfwVD7uqcAUerty7I0Fvon4OzeOolf82X
ZfzJw8evT6s5XcWpmA2wDdztbWgvR39OBn76kK22rOTKMQKJHCmwk+MFqNzDigixSk4rbLj2VCH9
/6Z03DzIWVRG57Jy80c1zrd346KalcWeNkl8+jFLFuV99mtfenmhhnv9H4rRx9im5E3JO35pjVkE
XXz1OP7Pb44zdGyPfB7clPIiLT7LmEahPh6QARpa5EnhjSJlSXnqYHu+twEvP5vayZe/89K9j+VL
EbT0oH9Jp7dKZj/7+LQN0mXk0Z5BpVlcFDdaj2+GQ2oa4JEdRYWofrBHm8DLEVVzrV1waKsK6F0J
bZKl4qLj6XAXoPVHPpiJBPOXvEiW90sURKJScxNsawiWwrEohKiH7GxC4A3JKNOPQ0+quvq2CQz4
FHUFPVHwoZ7zYEyk8rt/ykNREPqAYVm2BQRu//m/IgoPGVldoZdxSjsjwH5wDzorfNOJdjh0SU/5
kEe2z0FIuZxiGSYWzSMudfB6pA1o4+3ik35WJXrOEOymC2PYt8PekgDXGgp6dvSOOnI9enzICB1d
PeBYQxS+7Tu+qONzdUwCypByD4og6N3bB3GAxGqdf4kugwRIoA2PPT2iDy5EzFvu3cvHQxEVSb3H
94c0h9v0HwMqOZT6gKZk+LsBC1N3EVfvvCFIyChL6j29M7SEaqfSpB6y6wyayL5HUUMMdBYXR+Nf
Uf7R4zyhFqewlof0EvC9NcdSwYqf/PSfcInFERBC4OLrHYqA7w2ZGs4GCfSluPp3AiDL0BcBoEMA
NIT+F1fnHIRQydqh6dJ+LyXAUDLXIxtAIMM9a50DR/i7WECmdaiH7JoAXEXJOGj17ulp7X02M/Vn
PQAsIEJOUwW+rrwQ9NZBcIeA5PCO9mpCGZ0eyQBTwLQPgoBGAosihakOQlcbuPjBzKgBPaU+750o
mKDYVKD267rQCoZu6LomLGFtGQgEpTQoGws/cC8j/TIFdJ8ZPxgJdMzJQSRgDXEqLCZ3NDFfxyDC
R+I4NB85tGf0cxfoFwlUzuLXhcCBWwlVCKLWeXrKQ30A1wrbhJDQxtQ3hwBaVhHFaZkDmQNCF0As
0z4EmEHhLgpXWe1M7/wheicEakvr8UkReiQD6MOA4FZe7V0IQqwhPF3Q8TyJR89UgSNJfHR3gfYv
A3x1k/joOEYmfGUeW0CI0L/sGIGRtk9kMPWTNgBCQyUEnedHCsC3AnkHhL6Xkn5JgWWaAl6tKwUB
mQGwr8elgDCRtIHgTGo+751rxEsKdL0CEmTi+XzywU/v+tAgkColhgTQHjb+c//MAk13urkCxx1C
h4rh23uIHefAC4cWzrjAIKtd6t8uQKyoklgazgFkjD50bfQIPWn/Q1kIbZKphuj7aT7v3YmwHCIZ
Xb1gEzIBRiUBd/RE4IwOCZkZetY7FwERFd0KWmqRlAlwe5xkMmTyYsGWEARD6PfQCAdHpV/Gge7W
Jpj/9aNgu1SICBRo/lK7gJ493AXUos2AHtrkv2XW+7ULjPMJdPPntsGEBcpEgZheefj4oclwcBMC
RnqU5dU7fcitedrBErkjysXwQ6oUqdERAmpI7I6IJ/uaQKM9U7SCaykER4g6/Z4M2DiuECgyiRIS
yWb5Sz3KHUFsqP346EOb0cVwNnAQxNUVArInkkCUCV/y6p9RpJFJVwhERR3OCv8pIujmkEgbuGQS
wWWpXerfLiCh2kWVcCibq2nMVk/ZsY1MUWMbAGmSZpNf6J2HQLOEpWsVHAPl71E/EaZBXB3jAOEF
XagQXvjfwst+2UYy62LQnZ5aJIhmliq5lON6wSeHwHGxjCZ67F+VkV3QTiozg4kmddFV2JjIjiyA
YBzSi8xGiZlOPZMCHDzds4CfKEboEDSpo9BFGIQUoXl8AzYlZR2UT9InGwlkUL0aLW8ZpWdDAtwx
jj6ZJJzHwPMa8eidWWhYN/RUAUArwkFmFXwHeCkjRgFpaHyIPh6FZ2RIP11qBE1GFh1fsQkcO6qA
MhMGgf3+t+FmnRLRNxCqDQpX20UwqSXa0EBRspMX77oVOeFCUIzFODZlKJXM7ZNCENBJXeMIuMQK
KCQ0PnEXeiBQqDBeMf22yTArPdyjXRCAbN2sok0miaZ7DORxRykQjhT1Rgao9zR0AIWqXW0ggAKK
i3IEbyOvTm6VXYAUDCo849su9ctRIDX8bDLOz2pH8uw2SERC6EbiO7uADAh/0ZIjLXrmKAGdaWL7
X3cRqDzC+QiBUzeV5FOXZ3shlWpQyr0DXxybg/LTrx8/EPmHzel4at3nkGATAmeP1ezfLnhQueua
BdBI0G5aDIhSqqBTeCSZRmpdQJbh+5LXj8cMP2A7nlp+TifJ7FE2+yTj4lhP0Pe+sG91ef550+Yi
elkgYXviV5NfFL0/6reVryH+/nvLC5GtOAcf7ltzDv9784DPf/roTe3/8SoZ51H+MIG1nz6hbXOb
t9GchqH/zqK/o3l0CLpEBWOKv93Jf35r3efB+/+HhYu0s66o0Wmvm8MMtmgvLKGy+gun0aKIiv0t
itcIrS++m+7Kp9Es+ZrlnSlJqt1Je21Ge+TRY7a/S3HXCjeuvzKjnB/K5KEqW4tLPKbu4mfjWbSJ
8vHhygrlp73yj1G2ypNwtCHvKQx8Sbov2PXksS2FCp+ne/+X44yJWu2VFfRNd+UrdjxJDne8QVPp
Lnz9GE1aAmgqgI72utCPLLKkfSIV9kV76cVjEnW0iEJSaK+cbdovTxXldZe9ea6bVKFXe2EWqB7S
bUsuVOuF7tLvsiopnm2zqknqrv0+ShYt7UH96TXMy/so386ixePhdjRdCPq3XBTRw6QqxmXZkumm
zUl7/eRhksRRu3tOgaT0l8YWFFnZkuymsKi/dsF4kAKih5Zuom4nKlavsXpW5d2lRZJSe+lsUXZ0
SAPP1V35dvx3DmNXe7dVMVt/6XXUtlt0HIuimP7CmzdX0XxZTJK2WW86ml9j/bfjvBi3NFVTxXmN
xd+P6+ShZcaa4shrLP6FcTv7PZbxgerr0F46y8vJm9Moz7CUbXFRKf3X+YGzKO2efdWbrLv8h0nS
3nFo018hRviQzvBI2lENRMqi0qN9x/k47jYoS7yZ7sIfx4tFsZ2to06Y0FRrdZe/m2SP4zfXxTPb
pjK9ust/yqrvCGKTRH2dH3guiA1phu7y9+z+uCjGLZeiAZHpr123o8qmxqC77vdmcWuGNp/H+RzL
tj8qQls1yT/dG35pVrDmTb9Mp6+7+Lgo3xy9eZUa192Xv5LiIVsUSctza1o9tNeGmZU5A623qbJ4
L698LNP0xBbzPP+0Z4E59t/ayTXxjYfZOMp//x8AAAD//w==</cx:binary>
              </cx:geoCache>
            </cx:geography>
          </cx:layoutPr>
          <cx:valueColors>
            <cx:minColor>
              <a:srgbClr val="FF0000"/>
            </cx:minColor>
            <cx:midColor>
              <a:srgbClr val="FFFF00"/>
            </cx:midColor>
            <cx:maxColor>
              <a:srgbClr val="1FE924"/>
            </cx:maxColor>
          </cx:valueColors>
          <cx:valueColorPositions count="3"/>
        </cx:series>
      </cx:plotAreaRegion>
    </cx:plotArea>
  </cx:chart>
  <cx:spPr>
    <a:solidFill>
      <a:schemeClr val="bg1">
        <a:lumMod val="85000"/>
      </a:schemeClr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.xml"/><Relationship Id="rId18" Type="http://schemas.openxmlformats.org/officeDocument/2006/relationships/image" Target="../media/image15.png"/><Relationship Id="rId26" Type="http://schemas.openxmlformats.org/officeDocument/2006/relationships/image" Target="../media/image23.png"/><Relationship Id="rId3" Type="http://schemas.openxmlformats.org/officeDocument/2006/relationships/image" Target="../media/image3.svg"/><Relationship Id="rId21" Type="http://schemas.openxmlformats.org/officeDocument/2006/relationships/image" Target="../media/image18.svg"/><Relationship Id="rId7" Type="http://schemas.openxmlformats.org/officeDocument/2006/relationships/image" Target="../media/image7.svg"/><Relationship Id="rId12" Type="http://schemas.openxmlformats.org/officeDocument/2006/relationships/chart" Target="../charts/chart3.xml"/><Relationship Id="rId17" Type="http://schemas.openxmlformats.org/officeDocument/2006/relationships/image" Target="../media/image14.sv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3.png"/><Relationship Id="rId20" Type="http://schemas.openxmlformats.org/officeDocument/2006/relationships/image" Target="../media/image17.png"/><Relationship Id="rId29" Type="http://schemas.openxmlformats.org/officeDocument/2006/relationships/image" Target="../media/image26.svg"/><Relationship Id="rId1" Type="http://schemas.microsoft.com/office/2014/relationships/chartEx" Target="../charts/chartEx1.xml"/><Relationship Id="rId6" Type="http://schemas.openxmlformats.org/officeDocument/2006/relationships/image" Target="../media/image6.png"/><Relationship Id="rId11" Type="http://schemas.openxmlformats.org/officeDocument/2006/relationships/chart" Target="../charts/chart2.xml"/><Relationship Id="rId24" Type="http://schemas.openxmlformats.org/officeDocument/2006/relationships/image" Target="../media/image21.png"/><Relationship Id="rId5" Type="http://schemas.openxmlformats.org/officeDocument/2006/relationships/image" Target="../media/image5.svg"/><Relationship Id="rId15" Type="http://schemas.openxmlformats.org/officeDocument/2006/relationships/image" Target="../media/image12.svg"/><Relationship Id="rId23" Type="http://schemas.openxmlformats.org/officeDocument/2006/relationships/image" Target="../media/image20.svg"/><Relationship Id="rId28" Type="http://schemas.openxmlformats.org/officeDocument/2006/relationships/image" Target="../media/image25.png"/><Relationship Id="rId10" Type="http://schemas.openxmlformats.org/officeDocument/2006/relationships/image" Target="../media/image10.emf"/><Relationship Id="rId19" Type="http://schemas.openxmlformats.org/officeDocument/2006/relationships/image" Target="../media/image16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1.png"/><Relationship Id="rId22" Type="http://schemas.openxmlformats.org/officeDocument/2006/relationships/image" Target="../media/image19.png"/><Relationship Id="rId27" Type="http://schemas.openxmlformats.org/officeDocument/2006/relationships/image" Target="../media/image24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3</xdr:row>
      <xdr:rowOff>104776</xdr:rowOff>
    </xdr:from>
    <xdr:to>
      <xdr:col>15</xdr:col>
      <xdr:colOff>485775</xdr:colOff>
      <xdr:row>23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209550</xdr:colOff>
      <xdr:row>0</xdr:row>
      <xdr:rowOff>133350</xdr:rowOff>
    </xdr:from>
    <xdr:to>
      <xdr:col>28</xdr:col>
      <xdr:colOff>361950</xdr:colOff>
      <xdr:row>45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2" name="Chart 6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86350" y="133350"/>
              <a:ext cx="12344400" cy="853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0</xdr:row>
      <xdr:rowOff>0</xdr:rowOff>
    </xdr:from>
    <xdr:to>
      <xdr:col>8</xdr:col>
      <xdr:colOff>38100</xdr:colOff>
      <xdr:row>47</xdr:row>
      <xdr:rowOff>190499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0" y="0"/>
          <a:ext cx="4914900" cy="9143999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66674</xdr:colOff>
      <xdr:row>6</xdr:row>
      <xdr:rowOff>85725</xdr:rowOff>
    </xdr:to>
    <xdr:sp macro="" textlink="WorkSheet!M6">
      <xdr:nvSpPr>
        <xdr:cNvPr id="50" name="TextBox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0" y="0"/>
          <a:ext cx="4943474" cy="1228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 u="none" strike="noStrike">
              <a:solidFill>
                <a:schemeClr val="bg1">
                  <a:lumMod val="95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  <a:cs typeface="Calibri"/>
            </a:rPr>
            <a:t>Company Employee </a:t>
          </a:r>
        </a:p>
        <a:p>
          <a:pPr algn="ctr"/>
          <a:r>
            <a:rPr lang="en-US" sz="2400" b="1" i="0" u="none" strike="noStrike">
              <a:solidFill>
                <a:schemeClr val="bg1">
                  <a:lumMod val="95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  <a:cs typeface="Calibri"/>
            </a:rPr>
            <a:t>Report Dashboard</a:t>
          </a:r>
          <a:endParaRPr lang="en-US" sz="2400" b="1">
            <a:solidFill>
              <a:schemeClr val="bg1">
                <a:lumMod val="95000"/>
              </a:schemeClr>
            </a:soli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>
    <xdr:from>
      <xdr:col>1</xdr:col>
      <xdr:colOff>66675</xdr:colOff>
      <xdr:row>20</xdr:row>
      <xdr:rowOff>85725</xdr:rowOff>
    </xdr:from>
    <xdr:to>
      <xdr:col>7</xdr:col>
      <xdr:colOff>76200</xdr:colOff>
      <xdr:row>27</xdr:row>
      <xdr:rowOff>67984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676275" y="3895725"/>
          <a:ext cx="3667125" cy="1315759"/>
          <a:chOff x="7334250" y="4467225"/>
          <a:chExt cx="4406791" cy="1581150"/>
        </a:xfrm>
      </xdr:grpSpPr>
      <xdr:sp macro="" textlink="">
        <xdr:nvSpPr>
          <xdr:cNvPr id="51" name="Flowchart: Off-page Connector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7334250" y="4628075"/>
            <a:ext cx="954343" cy="1420300"/>
          </a:xfrm>
          <a:prstGeom prst="flowChartOffpageConnector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7030A0"/>
              </a:solidFill>
            </a:endParaRPr>
          </a:p>
        </xdr:txBody>
      </xdr:sp>
      <xdr:sp macro="" textlink="">
        <xdr:nvSpPr>
          <xdr:cNvPr id="52" name="Flowchart: Off-page Connector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 rot="16200000">
            <a:off x="9451934" y="3483042"/>
            <a:ext cx="1097473" cy="3480741"/>
          </a:xfrm>
          <a:prstGeom prst="flowChartOffpageConnector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Flowchart: Off-page Connector 52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 rot="16200000">
            <a:off x="9560115" y="3166849"/>
            <a:ext cx="879989" cy="3480741"/>
          </a:xfrm>
          <a:prstGeom prst="flowChartOffpageConnector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WorkSheet!H39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 txBox="1"/>
        </xdr:nvSpPr>
        <xdr:spPr>
          <a:xfrm>
            <a:off x="8439495" y="4667983"/>
            <a:ext cx="2608103" cy="56212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6822565-73B3-4EFB-8FE9-BD632175CEA7}" type="TxLink">
              <a:rPr lang="en-US" sz="28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513</a:t>
            </a:fld>
            <a:endParaRPr lang="en-US" sz="2800" b="1"/>
          </a:p>
        </xdr:txBody>
      </xdr:sp>
      <xdr:sp macro="" textlink="WorkSheet!O6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 txBox="1"/>
        </xdr:nvSpPr>
        <xdr:spPr>
          <a:xfrm>
            <a:off x="8360948" y="5254038"/>
            <a:ext cx="2608103" cy="5621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0" i="0" u="none" strike="noStrike">
                <a:solidFill>
                  <a:schemeClr val="bg1"/>
                </a:solidFill>
                <a:latin typeface="+mn-lt"/>
                <a:cs typeface="Calibri"/>
              </a:rPr>
              <a:t>Total Employee</a:t>
            </a:r>
            <a:endParaRPr lang="en-US" sz="2400">
              <a:solidFill>
                <a:schemeClr val="bg1"/>
              </a:solidFill>
            </a:endParaRPr>
          </a:p>
        </xdr:txBody>
      </xdr:sp>
      <xdr:sp macro="" textlink="">
        <xdr:nvSpPr>
          <xdr:cNvPr id="57" name="Flowchart: Off-page Connector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7334250" y="4467225"/>
            <a:ext cx="954343" cy="1086926"/>
          </a:xfrm>
          <a:prstGeom prst="flowChartOffpageConnector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47625</xdr:colOff>
      <xdr:row>6</xdr:row>
      <xdr:rowOff>142875</xdr:rowOff>
    </xdr:from>
    <xdr:to>
      <xdr:col>7</xdr:col>
      <xdr:colOff>123825</xdr:colOff>
      <xdr:row>12</xdr:row>
      <xdr:rowOff>85725</xdr:rowOff>
    </xdr:to>
    <xdr:grpSp>
      <xdr:nvGrpSpPr>
        <xdr:cNvPr id="13329" name="Group 13328">
          <a:extLst>
            <a:ext uri="{FF2B5EF4-FFF2-40B4-BE49-F238E27FC236}">
              <a16:creationId xmlns:a16="http://schemas.microsoft.com/office/drawing/2014/main" id="{00000000-0008-0000-0100-000011340000}"/>
            </a:ext>
          </a:extLst>
        </xdr:cNvPr>
        <xdr:cNvGrpSpPr/>
      </xdr:nvGrpSpPr>
      <xdr:grpSpPr>
        <a:xfrm>
          <a:off x="657225" y="1285875"/>
          <a:ext cx="3733800" cy="1085850"/>
          <a:chOff x="514350" y="4076700"/>
          <a:chExt cx="3733800" cy="1085850"/>
        </a:xfrm>
      </xdr:grpSpPr>
      <xdr:grpSp>
        <xdr:nvGrpSpPr>
          <xdr:cNvPr id="13325" name="Group 13324">
            <a:extLst>
              <a:ext uri="{FF2B5EF4-FFF2-40B4-BE49-F238E27FC236}">
                <a16:creationId xmlns:a16="http://schemas.microsoft.com/office/drawing/2014/main" id="{00000000-0008-0000-0100-00000D340000}"/>
              </a:ext>
            </a:extLst>
          </xdr:cNvPr>
          <xdr:cNvGrpSpPr/>
        </xdr:nvGrpSpPr>
        <xdr:grpSpPr>
          <a:xfrm>
            <a:off x="514350" y="4076700"/>
            <a:ext cx="3733800" cy="1085850"/>
            <a:chOff x="514350" y="4076700"/>
            <a:chExt cx="3733800" cy="1085850"/>
          </a:xfrm>
        </xdr:grpSpPr>
        <xdr:sp macro="[0]!Group13328_Click" textlink="">
          <xdr:nvSpPr>
            <xdr:cNvPr id="13323" name="Rectangle: Rounded Corners 13322">
              <a:extLst>
                <a:ext uri="{FF2B5EF4-FFF2-40B4-BE49-F238E27FC236}">
                  <a16:creationId xmlns:a16="http://schemas.microsoft.com/office/drawing/2014/main" id="{00000000-0008-0000-0100-00000B340000}"/>
                </a:ext>
              </a:extLst>
            </xdr:cNvPr>
            <xdr:cNvSpPr/>
          </xdr:nvSpPr>
          <xdr:spPr>
            <a:xfrm>
              <a:off x="514350" y="4210050"/>
              <a:ext cx="3657600" cy="952500"/>
            </a:xfrm>
            <a:prstGeom prst="roundRect">
              <a:avLst/>
            </a:prstGeom>
            <a:solidFill>
              <a:srgbClr val="7030A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Group13328_Click" textlink="">
          <xdr:nvSpPr>
            <xdr:cNvPr id="13324" name="Rectangle: Rounded Corners 13323">
              <a:extLst>
                <a:ext uri="{FF2B5EF4-FFF2-40B4-BE49-F238E27FC236}">
                  <a16:creationId xmlns:a16="http://schemas.microsoft.com/office/drawing/2014/main" id="{00000000-0008-0000-0100-00000C340000}"/>
                </a:ext>
              </a:extLst>
            </xdr:cNvPr>
            <xdr:cNvSpPr/>
          </xdr:nvSpPr>
          <xdr:spPr>
            <a:xfrm>
              <a:off x="590550" y="4076700"/>
              <a:ext cx="3657600" cy="95250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[0]!Group13328_Click" textlink="WorkSheet!N6">
        <xdr:nvSpPr>
          <xdr:cNvPr id="13328" name="TextBox 13327">
            <a:extLst>
              <a:ext uri="{FF2B5EF4-FFF2-40B4-BE49-F238E27FC236}">
                <a16:creationId xmlns:a16="http://schemas.microsoft.com/office/drawing/2014/main" id="{00000000-0008-0000-0100-000010340000}"/>
              </a:ext>
            </a:extLst>
          </xdr:cNvPr>
          <xdr:cNvSpPr txBox="1"/>
        </xdr:nvSpPr>
        <xdr:spPr>
          <a:xfrm>
            <a:off x="1200150" y="4267200"/>
            <a:ext cx="2608103" cy="5621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0" i="1" u="sng" strike="noStrike">
                <a:solidFill>
                  <a:srgbClr val="000000"/>
                </a:solidFill>
                <a:latin typeface="Calibri"/>
                <a:cs typeface="Calibri"/>
              </a:rPr>
              <a:t>Click For Salary</a:t>
            </a:r>
            <a:endParaRPr lang="en-US" sz="2400" b="0" i="1" u="sng"/>
          </a:p>
        </xdr:txBody>
      </xdr:sp>
    </xdr:grpSp>
    <xdr:clientData/>
  </xdr:twoCellAnchor>
  <xdr:twoCellAnchor>
    <xdr:from>
      <xdr:col>1</xdr:col>
      <xdr:colOff>28575</xdr:colOff>
      <xdr:row>12</xdr:row>
      <xdr:rowOff>171450</xdr:rowOff>
    </xdr:from>
    <xdr:to>
      <xdr:col>7</xdr:col>
      <xdr:colOff>152401</xdr:colOff>
      <xdr:row>18</xdr:row>
      <xdr:rowOff>142875</xdr:rowOff>
    </xdr:to>
    <xdr:grpSp>
      <xdr:nvGrpSpPr>
        <xdr:cNvPr id="13393" name="Group 13392">
          <a:extLst>
            <a:ext uri="{FF2B5EF4-FFF2-40B4-BE49-F238E27FC236}">
              <a16:creationId xmlns:a16="http://schemas.microsoft.com/office/drawing/2014/main" id="{00000000-0008-0000-0100-000051340000}"/>
            </a:ext>
          </a:extLst>
        </xdr:cNvPr>
        <xdr:cNvGrpSpPr/>
      </xdr:nvGrpSpPr>
      <xdr:grpSpPr>
        <a:xfrm>
          <a:off x="638175" y="2457450"/>
          <a:ext cx="3781426" cy="1114425"/>
          <a:chOff x="514350" y="4076700"/>
          <a:chExt cx="3733800" cy="1085850"/>
        </a:xfrm>
      </xdr:grpSpPr>
      <xdr:grpSp>
        <xdr:nvGrpSpPr>
          <xdr:cNvPr id="13394" name="Group 13393">
            <a:extLst>
              <a:ext uri="{FF2B5EF4-FFF2-40B4-BE49-F238E27FC236}">
                <a16:creationId xmlns:a16="http://schemas.microsoft.com/office/drawing/2014/main" id="{00000000-0008-0000-0100-000052340000}"/>
              </a:ext>
            </a:extLst>
          </xdr:cNvPr>
          <xdr:cNvGrpSpPr/>
        </xdr:nvGrpSpPr>
        <xdr:grpSpPr>
          <a:xfrm>
            <a:off x="514350" y="4076700"/>
            <a:ext cx="3733800" cy="1085850"/>
            <a:chOff x="514350" y="4076700"/>
            <a:chExt cx="3733800" cy="1085850"/>
          </a:xfrm>
        </xdr:grpSpPr>
        <xdr:sp macro="[0]!FlowchartOffpageConnector46_Click" textlink="">
          <xdr:nvSpPr>
            <xdr:cNvPr id="13396" name="Rectangle: Rounded Corners 13395">
              <a:extLst>
                <a:ext uri="{FF2B5EF4-FFF2-40B4-BE49-F238E27FC236}">
                  <a16:creationId xmlns:a16="http://schemas.microsoft.com/office/drawing/2014/main" id="{00000000-0008-0000-0100-000054340000}"/>
                </a:ext>
              </a:extLst>
            </xdr:cNvPr>
            <xdr:cNvSpPr/>
          </xdr:nvSpPr>
          <xdr:spPr>
            <a:xfrm>
              <a:off x="514350" y="4210050"/>
              <a:ext cx="3657600" cy="952500"/>
            </a:xfrm>
            <a:prstGeom prst="roundRect">
              <a:avLst/>
            </a:prstGeom>
            <a:solidFill>
              <a:srgbClr val="7030A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FlowchartOffpageConnector46_Click" textlink="">
          <xdr:nvSpPr>
            <xdr:cNvPr id="13397" name="Rectangle: Rounded Corners 13396">
              <a:extLst>
                <a:ext uri="{FF2B5EF4-FFF2-40B4-BE49-F238E27FC236}">
                  <a16:creationId xmlns:a16="http://schemas.microsoft.com/office/drawing/2014/main" id="{00000000-0008-0000-0100-000055340000}"/>
                </a:ext>
              </a:extLst>
            </xdr:cNvPr>
            <xdr:cNvSpPr/>
          </xdr:nvSpPr>
          <xdr:spPr>
            <a:xfrm>
              <a:off x="590550" y="4076700"/>
              <a:ext cx="3657600" cy="95250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[0]!FlowchartOffpageConnector46_Click" textlink="WorkSheet!N6">
        <xdr:nvSpPr>
          <xdr:cNvPr id="13395" name="TextBox 13394">
            <a:extLst>
              <a:ext uri="{FF2B5EF4-FFF2-40B4-BE49-F238E27FC236}">
                <a16:creationId xmlns:a16="http://schemas.microsoft.com/office/drawing/2014/main" id="{00000000-0008-0000-0100-000053340000}"/>
              </a:ext>
            </a:extLst>
          </xdr:cNvPr>
          <xdr:cNvSpPr txBox="1"/>
        </xdr:nvSpPr>
        <xdr:spPr>
          <a:xfrm>
            <a:off x="1200150" y="4267200"/>
            <a:ext cx="2608103" cy="5621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b="0" i="1" u="sng" strike="noStrike">
                <a:solidFill>
                  <a:srgbClr val="000000"/>
                </a:solidFill>
                <a:latin typeface="Calibri"/>
                <a:cs typeface="Calibri"/>
              </a:rPr>
              <a:t>Click For</a:t>
            </a:r>
            <a:r>
              <a:rPr lang="en-US" sz="2000" b="0" i="1" u="sng" strike="noStrike" baseline="0">
                <a:solidFill>
                  <a:srgbClr val="000000"/>
                </a:solidFill>
                <a:latin typeface="Calibri"/>
                <a:cs typeface="Calibri"/>
              </a:rPr>
              <a:t> Employee İnfo</a:t>
            </a:r>
            <a:endParaRPr lang="en-US" sz="2000" b="0" i="1" u="sng"/>
          </a:p>
        </xdr:txBody>
      </xdr:sp>
    </xdr:grpSp>
    <xdr:clientData/>
  </xdr:twoCellAnchor>
  <xdr:twoCellAnchor>
    <xdr:from>
      <xdr:col>1</xdr:col>
      <xdr:colOff>66675</xdr:colOff>
      <xdr:row>27</xdr:row>
      <xdr:rowOff>114300</xdr:rowOff>
    </xdr:from>
    <xdr:to>
      <xdr:col>7</xdr:col>
      <xdr:colOff>76200</xdr:colOff>
      <xdr:row>34</xdr:row>
      <xdr:rowOff>96559</xdr:rowOff>
    </xdr:to>
    <xdr:grpSp>
      <xdr:nvGrpSpPr>
        <xdr:cNvPr id="13465" name="Group 13464">
          <a:extLst>
            <a:ext uri="{FF2B5EF4-FFF2-40B4-BE49-F238E27FC236}">
              <a16:creationId xmlns:a16="http://schemas.microsoft.com/office/drawing/2014/main" id="{00000000-0008-0000-0100-000099340000}"/>
            </a:ext>
          </a:extLst>
        </xdr:cNvPr>
        <xdr:cNvGrpSpPr/>
      </xdr:nvGrpSpPr>
      <xdr:grpSpPr>
        <a:xfrm>
          <a:off x="676275" y="5257800"/>
          <a:ext cx="3667125" cy="1315759"/>
          <a:chOff x="7334250" y="4467225"/>
          <a:chExt cx="4406791" cy="1581150"/>
        </a:xfrm>
      </xdr:grpSpPr>
      <xdr:sp macro="" textlink="">
        <xdr:nvSpPr>
          <xdr:cNvPr id="13466" name="Flowchart: Off-page Connector 13465">
            <a:extLst>
              <a:ext uri="{FF2B5EF4-FFF2-40B4-BE49-F238E27FC236}">
                <a16:creationId xmlns:a16="http://schemas.microsoft.com/office/drawing/2014/main" id="{00000000-0008-0000-0100-00009A340000}"/>
              </a:ext>
            </a:extLst>
          </xdr:cNvPr>
          <xdr:cNvSpPr/>
        </xdr:nvSpPr>
        <xdr:spPr>
          <a:xfrm>
            <a:off x="7334250" y="4628075"/>
            <a:ext cx="954343" cy="1420300"/>
          </a:xfrm>
          <a:prstGeom prst="flowChartOffpageConnector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7030A0"/>
              </a:solidFill>
            </a:endParaRPr>
          </a:p>
        </xdr:txBody>
      </xdr:sp>
      <xdr:sp macro="" textlink="">
        <xdr:nvSpPr>
          <xdr:cNvPr id="13467" name="Flowchart: Off-page Connector 13466">
            <a:extLst>
              <a:ext uri="{FF2B5EF4-FFF2-40B4-BE49-F238E27FC236}">
                <a16:creationId xmlns:a16="http://schemas.microsoft.com/office/drawing/2014/main" id="{00000000-0008-0000-0100-00009B340000}"/>
              </a:ext>
            </a:extLst>
          </xdr:cNvPr>
          <xdr:cNvSpPr/>
        </xdr:nvSpPr>
        <xdr:spPr>
          <a:xfrm rot="16200000">
            <a:off x="9451934" y="3483042"/>
            <a:ext cx="1097473" cy="3480741"/>
          </a:xfrm>
          <a:prstGeom prst="flowChartOffpageConnector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68" name="Flowchart: Off-page Connector 13467">
            <a:extLst>
              <a:ext uri="{FF2B5EF4-FFF2-40B4-BE49-F238E27FC236}">
                <a16:creationId xmlns:a16="http://schemas.microsoft.com/office/drawing/2014/main" id="{00000000-0008-0000-0100-00009C340000}"/>
              </a:ext>
            </a:extLst>
          </xdr:cNvPr>
          <xdr:cNvSpPr/>
        </xdr:nvSpPr>
        <xdr:spPr>
          <a:xfrm rot="16200000">
            <a:off x="9560115" y="3166849"/>
            <a:ext cx="879989" cy="3480741"/>
          </a:xfrm>
          <a:prstGeom prst="flowChartOffpageConnector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WorkSheet!H39">
        <xdr:nvSpPr>
          <xdr:cNvPr id="13469" name="TextBox 13468">
            <a:extLst>
              <a:ext uri="{FF2B5EF4-FFF2-40B4-BE49-F238E27FC236}">
                <a16:creationId xmlns:a16="http://schemas.microsoft.com/office/drawing/2014/main" id="{00000000-0008-0000-0100-00009D340000}"/>
              </a:ext>
            </a:extLst>
          </xdr:cNvPr>
          <xdr:cNvSpPr txBox="1"/>
        </xdr:nvSpPr>
        <xdr:spPr>
          <a:xfrm>
            <a:off x="8439495" y="4667983"/>
            <a:ext cx="2608103" cy="56212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i="0" u="none" strike="noStrike">
                <a:solidFill>
                  <a:srgbClr val="000000"/>
                </a:solidFill>
                <a:latin typeface="Calibri"/>
                <a:cs typeface="Calibri"/>
              </a:rPr>
              <a:t>8</a:t>
            </a:r>
          </a:p>
        </xdr:txBody>
      </xdr:sp>
      <xdr:sp macro="" textlink="WorkSheet!O6">
        <xdr:nvSpPr>
          <xdr:cNvPr id="13470" name="TextBox 13469">
            <a:extLst>
              <a:ext uri="{FF2B5EF4-FFF2-40B4-BE49-F238E27FC236}">
                <a16:creationId xmlns:a16="http://schemas.microsoft.com/office/drawing/2014/main" id="{00000000-0008-0000-0100-00009E340000}"/>
              </a:ext>
            </a:extLst>
          </xdr:cNvPr>
          <xdr:cNvSpPr txBox="1"/>
        </xdr:nvSpPr>
        <xdr:spPr>
          <a:xfrm>
            <a:off x="8360948" y="5254038"/>
            <a:ext cx="2608103" cy="5621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0" i="0" u="none" strike="noStrike">
                <a:solidFill>
                  <a:schemeClr val="bg1"/>
                </a:solidFill>
                <a:latin typeface="+mn-lt"/>
                <a:cs typeface="Calibri"/>
              </a:rPr>
              <a:t>Total Rank</a:t>
            </a:r>
            <a:endParaRPr lang="en-US" sz="2400">
              <a:solidFill>
                <a:schemeClr val="bg1"/>
              </a:solidFill>
            </a:endParaRPr>
          </a:p>
        </xdr:txBody>
      </xdr:sp>
      <xdr:sp macro="" textlink="">
        <xdr:nvSpPr>
          <xdr:cNvPr id="13471" name="Flowchart: Off-page Connector 13470">
            <a:extLst>
              <a:ext uri="{FF2B5EF4-FFF2-40B4-BE49-F238E27FC236}">
                <a16:creationId xmlns:a16="http://schemas.microsoft.com/office/drawing/2014/main" id="{00000000-0008-0000-0100-00009F340000}"/>
              </a:ext>
            </a:extLst>
          </xdr:cNvPr>
          <xdr:cNvSpPr/>
        </xdr:nvSpPr>
        <xdr:spPr>
          <a:xfrm>
            <a:off x="7334250" y="4467225"/>
            <a:ext cx="954343" cy="1086926"/>
          </a:xfrm>
          <a:prstGeom prst="flowChartOffpageConnector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76201</xdr:colOff>
      <xdr:row>35</xdr:row>
      <xdr:rowOff>152400</xdr:rowOff>
    </xdr:from>
    <xdr:to>
      <xdr:col>7</xdr:col>
      <xdr:colOff>85729</xdr:colOff>
      <xdr:row>42</xdr:row>
      <xdr:rowOff>152401</xdr:rowOff>
    </xdr:to>
    <xdr:grpSp>
      <xdr:nvGrpSpPr>
        <xdr:cNvPr id="13473" name="Group 13472">
          <a:extLst>
            <a:ext uri="{FF2B5EF4-FFF2-40B4-BE49-F238E27FC236}">
              <a16:creationId xmlns:a16="http://schemas.microsoft.com/office/drawing/2014/main" id="{00000000-0008-0000-0100-0000A1340000}"/>
            </a:ext>
          </a:extLst>
        </xdr:cNvPr>
        <xdr:cNvGrpSpPr/>
      </xdr:nvGrpSpPr>
      <xdr:grpSpPr>
        <a:xfrm>
          <a:off x="685801" y="6819900"/>
          <a:ext cx="3667128" cy="1333501"/>
          <a:chOff x="7334250" y="4467225"/>
          <a:chExt cx="4406794" cy="1551566"/>
        </a:xfrm>
      </xdr:grpSpPr>
      <xdr:sp macro="" textlink="">
        <xdr:nvSpPr>
          <xdr:cNvPr id="13474" name="Flowchart: Off-page Connector 13473">
            <a:extLst>
              <a:ext uri="{FF2B5EF4-FFF2-40B4-BE49-F238E27FC236}">
                <a16:creationId xmlns:a16="http://schemas.microsoft.com/office/drawing/2014/main" id="{00000000-0008-0000-0100-0000A2340000}"/>
              </a:ext>
            </a:extLst>
          </xdr:cNvPr>
          <xdr:cNvSpPr/>
        </xdr:nvSpPr>
        <xdr:spPr>
          <a:xfrm>
            <a:off x="7334250" y="4484000"/>
            <a:ext cx="954343" cy="1445663"/>
          </a:xfrm>
          <a:prstGeom prst="flowChartOffpageConnector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7030A0"/>
              </a:solidFill>
            </a:endParaRPr>
          </a:p>
        </xdr:txBody>
      </xdr:sp>
      <xdr:sp macro="" textlink="">
        <xdr:nvSpPr>
          <xdr:cNvPr id="13475" name="Flowchart: Off-page Connector 13474">
            <a:extLst>
              <a:ext uri="{FF2B5EF4-FFF2-40B4-BE49-F238E27FC236}">
                <a16:creationId xmlns:a16="http://schemas.microsoft.com/office/drawing/2014/main" id="{00000000-0008-0000-0100-0000A3340000}"/>
              </a:ext>
            </a:extLst>
          </xdr:cNvPr>
          <xdr:cNvSpPr/>
        </xdr:nvSpPr>
        <xdr:spPr>
          <a:xfrm rot="16200000">
            <a:off x="9442137" y="3348770"/>
            <a:ext cx="1117071" cy="3480743"/>
          </a:xfrm>
          <a:prstGeom prst="flowChartOffpageConnector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76" name="Flowchart: Off-page Connector 13475">
            <a:extLst>
              <a:ext uri="{FF2B5EF4-FFF2-40B4-BE49-F238E27FC236}">
                <a16:creationId xmlns:a16="http://schemas.microsoft.com/office/drawing/2014/main" id="{00000000-0008-0000-0100-0000A4340000}"/>
              </a:ext>
            </a:extLst>
          </xdr:cNvPr>
          <xdr:cNvSpPr/>
        </xdr:nvSpPr>
        <xdr:spPr>
          <a:xfrm rot="16200000">
            <a:off x="9611382" y="3115583"/>
            <a:ext cx="777456" cy="3480741"/>
          </a:xfrm>
          <a:prstGeom prst="flowChartOffpageConnector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WorkSheet!H39">
        <xdr:nvSpPr>
          <xdr:cNvPr id="13477" name="TextBox 13476">
            <a:extLst>
              <a:ext uri="{FF2B5EF4-FFF2-40B4-BE49-F238E27FC236}">
                <a16:creationId xmlns:a16="http://schemas.microsoft.com/office/drawing/2014/main" id="{00000000-0008-0000-0100-0000A5340000}"/>
              </a:ext>
            </a:extLst>
          </xdr:cNvPr>
          <xdr:cNvSpPr txBox="1"/>
        </xdr:nvSpPr>
        <xdr:spPr>
          <a:xfrm>
            <a:off x="8439495" y="4667983"/>
            <a:ext cx="2608103" cy="56212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 i="0" u="none" strike="noStrike">
                <a:solidFill>
                  <a:srgbClr val="000000"/>
                </a:solidFill>
                <a:latin typeface="Calibri"/>
                <a:cs typeface="Calibri"/>
              </a:rPr>
              <a:t>9</a:t>
            </a:r>
            <a:endParaRPr lang="en-US" sz="2800" b="1"/>
          </a:p>
        </xdr:txBody>
      </xdr:sp>
      <xdr:sp macro="" textlink="WorkSheet!O6">
        <xdr:nvSpPr>
          <xdr:cNvPr id="13478" name="TextBox 13477">
            <a:extLst>
              <a:ext uri="{FF2B5EF4-FFF2-40B4-BE49-F238E27FC236}">
                <a16:creationId xmlns:a16="http://schemas.microsoft.com/office/drawing/2014/main" id="{00000000-0008-0000-0100-0000A6340000}"/>
              </a:ext>
            </a:extLst>
          </xdr:cNvPr>
          <xdr:cNvSpPr txBox="1"/>
        </xdr:nvSpPr>
        <xdr:spPr>
          <a:xfrm>
            <a:off x="8349502" y="4811946"/>
            <a:ext cx="2608102" cy="12068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b="0" i="0" u="none" strike="noStrike">
                <a:solidFill>
                  <a:schemeClr val="bg1"/>
                </a:solidFill>
                <a:latin typeface="+mn-lt"/>
                <a:cs typeface="Calibri"/>
              </a:rPr>
              <a:t>Total Department</a:t>
            </a:r>
            <a:endParaRPr lang="en-US" sz="2000">
              <a:solidFill>
                <a:schemeClr val="bg1"/>
              </a:solidFill>
            </a:endParaRPr>
          </a:p>
        </xdr:txBody>
      </xdr:sp>
      <xdr:sp macro="" textlink="">
        <xdr:nvSpPr>
          <xdr:cNvPr id="13479" name="Flowchart: Off-page Connector 13478">
            <a:extLst>
              <a:ext uri="{FF2B5EF4-FFF2-40B4-BE49-F238E27FC236}">
                <a16:creationId xmlns:a16="http://schemas.microsoft.com/office/drawing/2014/main" id="{00000000-0008-0000-0100-0000A7340000}"/>
              </a:ext>
            </a:extLst>
          </xdr:cNvPr>
          <xdr:cNvSpPr/>
        </xdr:nvSpPr>
        <xdr:spPr>
          <a:xfrm>
            <a:off x="7334250" y="4467225"/>
            <a:ext cx="954343" cy="960281"/>
          </a:xfrm>
          <a:prstGeom prst="flowChartOffpageConnector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152400</xdr:colOff>
      <xdr:row>28</xdr:row>
      <xdr:rowOff>57150</xdr:rowOff>
    </xdr:from>
    <xdr:to>
      <xdr:col>2</xdr:col>
      <xdr:colOff>166725</xdr:colOff>
      <xdr:row>31</xdr:row>
      <xdr:rowOff>109575</xdr:rowOff>
    </xdr:to>
    <xdr:pic>
      <xdr:nvPicPr>
        <xdr:cNvPr id="13482" name="Graphic 13481" descr="Ribbon with solid fill">
          <a:extLst>
            <a:ext uri="{FF2B5EF4-FFF2-40B4-BE49-F238E27FC236}">
              <a16:creationId xmlns:a16="http://schemas.microsoft.com/office/drawing/2014/main" id="{00000000-0008-0000-0100-0000AA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62000" y="5391150"/>
          <a:ext cx="623925" cy="623925"/>
        </a:xfrm>
        <a:prstGeom prst="rect">
          <a:avLst/>
        </a:prstGeom>
      </xdr:spPr>
    </xdr:pic>
    <xdr:clientData/>
  </xdr:twoCellAnchor>
  <xdr:twoCellAnchor editAs="oneCell">
    <xdr:from>
      <xdr:col>1</xdr:col>
      <xdr:colOff>150000</xdr:colOff>
      <xdr:row>20</xdr:row>
      <xdr:rowOff>130950</xdr:rowOff>
    </xdr:from>
    <xdr:to>
      <xdr:col>2</xdr:col>
      <xdr:colOff>164325</xdr:colOff>
      <xdr:row>23</xdr:row>
      <xdr:rowOff>183375</xdr:rowOff>
    </xdr:to>
    <xdr:pic>
      <xdr:nvPicPr>
        <xdr:cNvPr id="13484" name="Graphic 13483" descr="User with solid fill">
          <a:extLst>
            <a:ext uri="{FF2B5EF4-FFF2-40B4-BE49-F238E27FC236}">
              <a16:creationId xmlns:a16="http://schemas.microsoft.com/office/drawing/2014/main" id="{00000000-0008-0000-0100-0000AC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59600" y="3940950"/>
          <a:ext cx="623925" cy="623925"/>
        </a:xfrm>
        <a:prstGeom prst="rect">
          <a:avLst/>
        </a:prstGeom>
      </xdr:spPr>
    </xdr:pic>
    <xdr:clientData/>
  </xdr:twoCellAnchor>
  <xdr:twoCellAnchor editAs="oneCell">
    <xdr:from>
      <xdr:col>1</xdr:col>
      <xdr:colOff>185700</xdr:colOff>
      <xdr:row>36</xdr:row>
      <xdr:rowOff>33300</xdr:rowOff>
    </xdr:from>
    <xdr:to>
      <xdr:col>2</xdr:col>
      <xdr:colOff>200025</xdr:colOff>
      <xdr:row>39</xdr:row>
      <xdr:rowOff>85725</xdr:rowOff>
    </xdr:to>
    <xdr:pic>
      <xdr:nvPicPr>
        <xdr:cNvPr id="13486" name="Graphic 13485" descr="Employee badge with solid fill">
          <a:extLst>
            <a:ext uri="{FF2B5EF4-FFF2-40B4-BE49-F238E27FC236}">
              <a16:creationId xmlns:a16="http://schemas.microsoft.com/office/drawing/2014/main" id="{00000000-0008-0000-0100-0000AE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95300" y="6891300"/>
          <a:ext cx="623925" cy="623925"/>
        </a:xfrm>
        <a:prstGeom prst="rect">
          <a:avLst/>
        </a:prstGeom>
      </xdr:spPr>
    </xdr:pic>
    <xdr:clientData/>
  </xdr:twoCellAnchor>
  <xdr:twoCellAnchor editAs="oneCell">
    <xdr:from>
      <xdr:col>0</xdr:col>
      <xdr:colOff>523875</xdr:colOff>
      <xdr:row>7</xdr:row>
      <xdr:rowOff>142875</xdr:rowOff>
    </xdr:from>
    <xdr:to>
      <xdr:col>1</xdr:col>
      <xdr:colOff>523875</xdr:colOff>
      <xdr:row>10</xdr:row>
      <xdr:rowOff>180975</xdr:rowOff>
    </xdr:to>
    <xdr:pic>
      <xdr:nvPicPr>
        <xdr:cNvPr id="13489" name="Graphic 13488" descr="Right pointing backhand index with solid fill">
          <a:extLst>
            <a:ext uri="{FF2B5EF4-FFF2-40B4-BE49-F238E27FC236}">
              <a16:creationId xmlns:a16="http://schemas.microsoft.com/office/drawing/2014/main" id="{00000000-0008-0000-0100-0000B1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23875" y="1476375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504825</xdr:colOff>
      <xdr:row>14</xdr:row>
      <xdr:rowOff>66675</xdr:rowOff>
    </xdr:from>
    <xdr:to>
      <xdr:col>1</xdr:col>
      <xdr:colOff>504825</xdr:colOff>
      <xdr:row>17</xdr:row>
      <xdr:rowOff>104775</xdr:rowOff>
    </xdr:to>
    <xdr:pic>
      <xdr:nvPicPr>
        <xdr:cNvPr id="13490" name="Graphic 13489" descr="Right pointing backhand index with solid fill">
          <a:extLst>
            <a:ext uri="{FF2B5EF4-FFF2-40B4-BE49-F238E27FC236}">
              <a16:creationId xmlns:a16="http://schemas.microsoft.com/office/drawing/2014/main" id="{00000000-0008-0000-0100-0000B2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04825" y="2733675"/>
          <a:ext cx="609600" cy="609600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8</xdr:row>
      <xdr:rowOff>28576</xdr:rowOff>
    </xdr:from>
    <xdr:to>
      <xdr:col>29</xdr:col>
      <xdr:colOff>0</xdr:colOff>
      <xdr:row>32</xdr:row>
      <xdr:rowOff>0</xdr:rowOff>
    </xdr:to>
    <xdr:grpSp>
      <xdr:nvGrpSpPr>
        <xdr:cNvPr id="13337" name="salarynew" hidden="1">
          <a:extLst>
            <a:ext uri="{FF2B5EF4-FFF2-40B4-BE49-F238E27FC236}">
              <a16:creationId xmlns:a16="http://schemas.microsoft.com/office/drawing/2014/main" id="{00000000-0008-0000-0100-000019340000}"/>
            </a:ext>
          </a:extLst>
        </xdr:cNvPr>
        <xdr:cNvGrpSpPr/>
      </xdr:nvGrpSpPr>
      <xdr:grpSpPr>
        <a:xfrm>
          <a:off x="190500" y="1552576"/>
          <a:ext cx="17487900" cy="4543424"/>
          <a:chOff x="0" y="9744076"/>
          <a:chExt cx="17545050" cy="4543424"/>
        </a:xfrm>
      </xdr:grpSpPr>
      <xdr:grpSp>
        <xdr:nvGrpSpPr>
          <xdr:cNvPr id="13320" name="salary" hidden="1">
            <a:extLst>
              <a:ext uri="{FF2B5EF4-FFF2-40B4-BE49-F238E27FC236}">
                <a16:creationId xmlns:a16="http://schemas.microsoft.com/office/drawing/2014/main" id="{00000000-0008-0000-0100-000008340000}"/>
              </a:ext>
            </a:extLst>
          </xdr:cNvPr>
          <xdr:cNvGrpSpPr/>
        </xdr:nvGrpSpPr>
        <xdr:grpSpPr>
          <a:xfrm>
            <a:off x="0" y="9763125"/>
            <a:ext cx="17545050" cy="4524375"/>
            <a:chOff x="0" y="9763125"/>
            <a:chExt cx="17545050" cy="4524375"/>
          </a:xfrm>
        </xdr:grpSpPr>
        <xdr:sp macro="" textlink="">
          <xdr:nvSpPr>
            <xdr:cNvPr id="13319" name="Rectangle 13318" hidden="1">
              <a:extLst>
                <a:ext uri="{FF2B5EF4-FFF2-40B4-BE49-F238E27FC236}">
                  <a16:creationId xmlns:a16="http://schemas.microsoft.com/office/drawing/2014/main" id="{00000000-0008-0000-0100-000007340000}"/>
                </a:ext>
              </a:extLst>
            </xdr:cNvPr>
            <xdr:cNvSpPr/>
          </xdr:nvSpPr>
          <xdr:spPr>
            <a:xfrm>
              <a:off x="0" y="9763125"/>
              <a:ext cx="17545050" cy="45243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61" name="Picture 60" hidden="1">
                  <a:extLst>
                    <a:ext uri="{FF2B5EF4-FFF2-40B4-BE49-F238E27FC236}">
                      <a16:creationId xmlns:a16="http://schemas.microsoft.com/office/drawing/2014/main" id="{00000000-0008-0000-0100-00003D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WorkSheet!$H$20:$J$31" spid="_x0000_s13354"/>
                    </a:ext>
                  </a:extLst>
                </xdr:cNvPicPr>
              </xdr:nvPicPr>
              <xdr:blipFill>
                <a:blip xmlns:r="http://schemas.openxmlformats.org/officeDocument/2006/relationships" r:embed="rId10"/>
                <a:srcRect/>
                <a:stretch>
                  <a:fillRect/>
                </a:stretch>
              </xdr:blipFill>
              <xdr:spPr bwMode="auto">
                <a:xfrm>
                  <a:off x="5495925" y="10239375"/>
                  <a:ext cx="4933950" cy="3962400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 xmlns=""/>
        </mc:AlternateContent>
        <xdr:graphicFrame macro="">
          <xdr:nvGraphicFramePr>
            <xdr:cNvPr id="13312" name="Chart 13311" hidden="1">
              <a:extLst>
                <a:ext uri="{FF2B5EF4-FFF2-40B4-BE49-F238E27FC236}">
                  <a16:creationId xmlns:a16="http://schemas.microsoft.com/office/drawing/2014/main" id="{00000000-0008-0000-0100-000000340000}"/>
                </a:ext>
              </a:extLst>
            </xdr:cNvPr>
            <xdr:cNvGraphicFramePr>
              <a:graphicFrameLocks/>
            </xdr:cNvGraphicFramePr>
          </xdr:nvGraphicFramePr>
          <xdr:xfrm>
            <a:off x="10591800" y="10325100"/>
            <a:ext cx="6858001" cy="38766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3313" name="Chart 13312" hidden="1">
              <a:extLs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GraphicFramePr>
              <a:graphicFrameLocks/>
            </xdr:cNvGraphicFramePr>
          </xdr:nvGraphicFramePr>
          <xdr:xfrm>
            <a:off x="114300" y="10296525"/>
            <a:ext cx="5286375" cy="390525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  <xdr:sp macro="[0]!MultiplicationSign13320_Click" textlink="">
        <xdr:nvSpPr>
          <xdr:cNvPr id="13321" name="Multiplication Sign 13320" hidden="1">
            <a:extLst>
              <a:ext uri="{FF2B5EF4-FFF2-40B4-BE49-F238E27FC236}">
                <a16:creationId xmlns:a16="http://schemas.microsoft.com/office/drawing/2014/main" id="{00000000-0008-0000-0100-000009340000}"/>
              </a:ext>
            </a:extLst>
          </xdr:cNvPr>
          <xdr:cNvSpPr/>
        </xdr:nvSpPr>
        <xdr:spPr>
          <a:xfrm>
            <a:off x="16875084" y="9744076"/>
            <a:ext cx="593766" cy="571500"/>
          </a:xfrm>
          <a:prstGeom prst="mathMultiply">
            <a:avLst/>
          </a:prstGeom>
          <a:solidFill>
            <a:srgbClr val="FF0000"/>
          </a:solidFill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371475</xdr:colOff>
      <xdr:row>1</xdr:row>
      <xdr:rowOff>57150</xdr:rowOff>
    </xdr:from>
    <xdr:to>
      <xdr:col>28</xdr:col>
      <xdr:colOff>352425</xdr:colOff>
      <xdr:row>44</xdr:row>
      <xdr:rowOff>123825</xdr:rowOff>
    </xdr:to>
    <xdr:grpSp>
      <xdr:nvGrpSpPr>
        <xdr:cNvPr id="46" name="employee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pSpPr/>
      </xdr:nvGrpSpPr>
      <xdr:grpSpPr>
        <a:xfrm>
          <a:off x="371475" y="247650"/>
          <a:ext cx="17049750" cy="8258175"/>
          <a:chOff x="504825" y="-9467850"/>
          <a:chExt cx="17049750" cy="8858250"/>
        </a:xfrm>
      </xdr:grpSpPr>
      <xdr:sp macro="" textlink="">
        <xdr:nvSpPr>
          <xdr:cNvPr id="3" name="Flowchart: Alternate Process 2" hidden="1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504825" y="-9467850"/>
            <a:ext cx="17049750" cy="8858250"/>
          </a:xfrm>
          <a:prstGeom prst="flowChartAlternateProcess">
            <a:avLst/>
          </a:prstGeom>
          <a:solidFill>
            <a:srgbClr val="1FE924">
              <a:alpha val="52000"/>
            </a:srgb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omboBox1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100-000002340000}"/>
                  </a:ext>
                </a:extLst>
              </xdr:cNvPr>
              <xdr:cNvSpPr/>
            </xdr:nvSpPr>
            <xdr:spPr bwMode="auto">
              <a:xfrm>
                <a:off x="12058650" y="-8191500"/>
                <a:ext cx="30670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3349" name="Group 13348" hidden="1">
            <a:extLst>
              <a:ext uri="{FF2B5EF4-FFF2-40B4-BE49-F238E27FC236}">
                <a16:creationId xmlns:a16="http://schemas.microsoft.com/office/drawing/2014/main" id="{00000000-0008-0000-0100-000025340000}"/>
              </a:ext>
            </a:extLst>
          </xdr:cNvPr>
          <xdr:cNvGrpSpPr/>
        </xdr:nvGrpSpPr>
        <xdr:grpSpPr>
          <a:xfrm>
            <a:off x="1247776" y="-9172581"/>
            <a:ext cx="5520419" cy="1352551"/>
            <a:chOff x="1256164" y="-12408806"/>
            <a:chExt cx="6477001" cy="1857377"/>
          </a:xfrm>
        </xdr:grpSpPr>
        <xdr:sp macro="" textlink="">
          <xdr:nvSpPr>
            <xdr:cNvPr id="4" name="Flowchart: Off-page Connector 3" hidden="1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1256164" y="-12084952"/>
              <a:ext cx="1390650" cy="1533523"/>
            </a:xfrm>
            <a:prstGeom prst="flowChartOffpageConnector">
              <a:avLst/>
            </a:prstGeom>
            <a:solidFill>
              <a:srgbClr val="7030A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8" name="Flowchart: Off-page Connector 7" hidden="1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/>
          </xdr:nvSpPr>
          <xdr:spPr>
            <a:xfrm>
              <a:off x="1256165" y="-12399276"/>
              <a:ext cx="1390650" cy="1533525"/>
            </a:xfrm>
            <a:prstGeom prst="flowChartOffpageConnector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1" name="Flowchart: Off-page Connector 10" hidden="1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/>
          </xdr:nvSpPr>
          <xdr:spPr>
            <a:xfrm rot="16200000">
              <a:off x="4538925" y="-14055230"/>
              <a:ext cx="1252539" cy="5135941"/>
            </a:xfrm>
            <a:prstGeom prst="flowChartOffpageConnector">
              <a:avLst/>
            </a:prstGeom>
            <a:solidFill>
              <a:srgbClr val="7030A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2" name="Flowchart: Off-page Connector 11" hidden="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/>
          </xdr:nvSpPr>
          <xdr:spPr>
            <a:xfrm rot="16200000">
              <a:off x="4485524" y="-14375334"/>
              <a:ext cx="1252542" cy="5185598"/>
            </a:xfrm>
            <a:prstGeom prst="flowChartOffpageConnector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WorkSheet!C1">
          <xdr:nvSpPr>
            <xdr:cNvPr id="13" name="TextBox 12" hidden="1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2894464" y="-12123051"/>
              <a:ext cx="3800476" cy="80010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97D170D-1326-42D8-AFBE-1CAEB07AEA9A}" type="TxLink">
                <a:rPr lang="en-US" sz="32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Özlem Yıldırım</a:t>
              </a:fld>
              <a:endParaRPr lang="en-US" sz="3200"/>
            </a:p>
          </xdr:txBody>
        </xdr:sp>
      </xdr:grpSp>
      <xdr:pic>
        <xdr:nvPicPr>
          <xdr:cNvPr id="10" name="Graphic 9" descr="User with solid fill" hidden="1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95400" y="-9267825"/>
            <a:ext cx="1123950" cy="1123950"/>
          </a:xfrm>
          <a:prstGeom prst="rect">
            <a:avLst/>
          </a:prstGeom>
        </xdr:spPr>
      </xdr:pic>
      <xdr:grpSp>
        <xdr:nvGrpSpPr>
          <xdr:cNvPr id="13350" name="Group 13349" hidden="1">
            <a:extLst>
              <a:ext uri="{FF2B5EF4-FFF2-40B4-BE49-F238E27FC236}">
                <a16:creationId xmlns:a16="http://schemas.microsoft.com/office/drawing/2014/main" id="{00000000-0008-0000-0100-000026340000}"/>
              </a:ext>
            </a:extLst>
          </xdr:cNvPr>
          <xdr:cNvGrpSpPr/>
        </xdr:nvGrpSpPr>
        <xdr:grpSpPr>
          <a:xfrm>
            <a:off x="1285875" y="-7734303"/>
            <a:ext cx="4444892" cy="1699482"/>
            <a:chOff x="1207492" y="-12880436"/>
            <a:chExt cx="6477010" cy="2418969"/>
          </a:xfrm>
        </xdr:grpSpPr>
        <xdr:sp macro="" textlink="">
          <xdr:nvSpPr>
            <xdr:cNvPr id="13351" name="Flowchart: Off-page Connector 13350" hidden="1">
              <a:extLst>
                <a:ext uri="{FF2B5EF4-FFF2-40B4-BE49-F238E27FC236}">
                  <a16:creationId xmlns:a16="http://schemas.microsoft.com/office/drawing/2014/main" id="{00000000-0008-0000-0100-000027340000}"/>
                </a:ext>
              </a:extLst>
            </xdr:cNvPr>
            <xdr:cNvSpPr/>
          </xdr:nvSpPr>
          <xdr:spPr>
            <a:xfrm>
              <a:off x="1207492" y="-12556584"/>
              <a:ext cx="1390650" cy="2095117"/>
            </a:xfrm>
            <a:prstGeom prst="flowChartOffpageConnector">
              <a:avLst/>
            </a:prstGeom>
            <a:solidFill>
              <a:srgbClr val="7030A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13352" name="Flowchart: Off-page Connector 13351" hidden="1">
              <a:extLst>
                <a:ext uri="{FF2B5EF4-FFF2-40B4-BE49-F238E27FC236}">
                  <a16:creationId xmlns:a16="http://schemas.microsoft.com/office/drawing/2014/main" id="{00000000-0008-0000-0100-000028340000}"/>
                </a:ext>
              </a:extLst>
            </xdr:cNvPr>
            <xdr:cNvSpPr/>
          </xdr:nvSpPr>
          <xdr:spPr>
            <a:xfrm>
              <a:off x="1207492" y="-12870908"/>
              <a:ext cx="1390649" cy="1533524"/>
            </a:xfrm>
            <a:prstGeom prst="flowChartOffpageConnector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353" name="Flowchart: Off-page Connector 13352" hidden="1">
              <a:extLst>
                <a:ext uri="{FF2B5EF4-FFF2-40B4-BE49-F238E27FC236}">
                  <a16:creationId xmlns:a16="http://schemas.microsoft.com/office/drawing/2014/main" id="{00000000-0008-0000-0100-000029340000}"/>
                </a:ext>
              </a:extLst>
            </xdr:cNvPr>
            <xdr:cNvSpPr/>
          </xdr:nvSpPr>
          <xdr:spPr>
            <a:xfrm rot="16200000">
              <a:off x="4292852" y="-14265576"/>
              <a:ext cx="1711231" cy="5072068"/>
            </a:xfrm>
            <a:prstGeom prst="flowChartOffpageConnector">
              <a:avLst/>
            </a:prstGeom>
            <a:solidFill>
              <a:srgbClr val="7030A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354" name="Flowchart: Off-page Connector 13353" hidden="1">
              <a:extLst>
                <a:ext uri="{FF2B5EF4-FFF2-40B4-BE49-F238E27FC236}">
                  <a16:creationId xmlns:a16="http://schemas.microsoft.com/office/drawing/2014/main" id="{00000000-0008-0000-0100-00002A340000}"/>
                </a:ext>
              </a:extLst>
            </xdr:cNvPr>
            <xdr:cNvSpPr/>
          </xdr:nvSpPr>
          <xdr:spPr>
            <a:xfrm rot="16200000">
              <a:off x="4493618" y="-14790199"/>
              <a:ext cx="1252540" cy="5072065"/>
            </a:xfrm>
            <a:prstGeom prst="flowChartOffpageConnector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WorkSheet!G6">
          <xdr:nvSpPr>
            <xdr:cNvPr id="13355" name="TextBox 13354" hidden="1">
              <a:extLst>
                <a:ext uri="{FF2B5EF4-FFF2-40B4-BE49-F238E27FC236}">
                  <a16:creationId xmlns:a16="http://schemas.microsoft.com/office/drawing/2014/main" id="{00000000-0008-0000-0100-00002B340000}"/>
                </a:ext>
              </a:extLst>
            </xdr:cNvPr>
            <xdr:cNvSpPr txBox="1"/>
          </xdr:nvSpPr>
          <xdr:spPr>
            <a:xfrm>
              <a:off x="2845792" y="-12594681"/>
              <a:ext cx="3800477" cy="8001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E60A7ED-2389-4DB3-846A-C38BC6F2AC98}" type="TxLink">
                <a:rPr lang="en-US" sz="24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1019</a:t>
              </a:fld>
              <a:endParaRPr lang="en-US" sz="2400"/>
            </a:p>
          </xdr:txBody>
        </xdr:sp>
      </xdr:grpSp>
      <xdr:grpSp>
        <xdr:nvGrpSpPr>
          <xdr:cNvPr id="13357" name="Group 13356" hidden="1">
            <a:extLst>
              <a:ext uri="{FF2B5EF4-FFF2-40B4-BE49-F238E27FC236}">
                <a16:creationId xmlns:a16="http://schemas.microsoft.com/office/drawing/2014/main" id="{00000000-0008-0000-0100-00002D340000}"/>
              </a:ext>
            </a:extLst>
          </xdr:cNvPr>
          <xdr:cNvGrpSpPr/>
        </xdr:nvGrpSpPr>
        <xdr:grpSpPr>
          <a:xfrm>
            <a:off x="1343025" y="-6010269"/>
            <a:ext cx="4425839" cy="1641172"/>
            <a:chOff x="1207491" y="-12880457"/>
            <a:chExt cx="6449244" cy="2335979"/>
          </a:xfrm>
        </xdr:grpSpPr>
        <xdr:sp macro="" textlink="">
          <xdr:nvSpPr>
            <xdr:cNvPr id="13358" name="Flowchart: Off-page Connector 13357" hidden="1">
              <a:extLst>
                <a:ext uri="{FF2B5EF4-FFF2-40B4-BE49-F238E27FC236}">
                  <a16:creationId xmlns:a16="http://schemas.microsoft.com/office/drawing/2014/main" id="{00000000-0008-0000-0100-00002E340000}"/>
                </a:ext>
              </a:extLst>
            </xdr:cNvPr>
            <xdr:cNvSpPr/>
          </xdr:nvSpPr>
          <xdr:spPr>
            <a:xfrm>
              <a:off x="1207491" y="-12556609"/>
              <a:ext cx="1390650" cy="2012131"/>
            </a:xfrm>
            <a:prstGeom prst="flowChartOffpageConnector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13359" name="Flowchart: Off-page Connector 13358" hidden="1">
              <a:extLst>
                <a:ext uri="{FF2B5EF4-FFF2-40B4-BE49-F238E27FC236}">
                  <a16:creationId xmlns:a16="http://schemas.microsoft.com/office/drawing/2014/main" id="{00000000-0008-0000-0100-00002F340000}"/>
                </a:ext>
              </a:extLst>
            </xdr:cNvPr>
            <xdr:cNvSpPr/>
          </xdr:nvSpPr>
          <xdr:spPr>
            <a:xfrm>
              <a:off x="1207491" y="-12870939"/>
              <a:ext cx="1390650" cy="1533525"/>
            </a:xfrm>
            <a:prstGeom prst="flowChartOffpageConnector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360" name="Flowchart: Off-page Connector 13359" hidden="1">
              <a:extLst>
                <a:ext uri="{FF2B5EF4-FFF2-40B4-BE49-F238E27FC236}">
                  <a16:creationId xmlns:a16="http://schemas.microsoft.com/office/drawing/2014/main" id="{00000000-0008-0000-0100-000030340000}"/>
                </a:ext>
              </a:extLst>
            </xdr:cNvPr>
            <xdr:cNvSpPr/>
          </xdr:nvSpPr>
          <xdr:spPr>
            <a:xfrm rot="16200000">
              <a:off x="4298980" y="-14299491"/>
              <a:ext cx="1643450" cy="5072060"/>
            </a:xfrm>
            <a:prstGeom prst="flowChartOffpageConnector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361" name="Flowchart: Off-page Connector 13360" hidden="1">
              <a:extLst>
                <a:ext uri="{FF2B5EF4-FFF2-40B4-BE49-F238E27FC236}">
                  <a16:creationId xmlns:a16="http://schemas.microsoft.com/office/drawing/2014/main" id="{00000000-0008-0000-0100-000031340000}"/>
                </a:ext>
              </a:extLst>
            </xdr:cNvPr>
            <xdr:cNvSpPr/>
          </xdr:nvSpPr>
          <xdr:spPr>
            <a:xfrm rot="16200000">
              <a:off x="4493615" y="-14790222"/>
              <a:ext cx="1252535" cy="5072065"/>
            </a:xfrm>
            <a:prstGeom prst="flowChartOffpageConnector">
              <a:avLst/>
            </a:prstGeom>
            <a:solidFill>
              <a:schemeClr val="bg1"/>
            </a:solidFill>
            <a:ln>
              <a:solidFill>
                <a:schemeClr val="lt1">
                  <a:shade val="5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WorkSheet!I6">
          <xdr:nvSpPr>
            <xdr:cNvPr id="13362" name="TextBox 13361" hidden="1">
              <a:extLst>
                <a:ext uri="{FF2B5EF4-FFF2-40B4-BE49-F238E27FC236}">
                  <a16:creationId xmlns:a16="http://schemas.microsoft.com/office/drawing/2014/main" id="{00000000-0008-0000-0100-000032340000}"/>
                </a:ext>
              </a:extLst>
            </xdr:cNvPr>
            <xdr:cNvSpPr txBox="1"/>
          </xdr:nvSpPr>
          <xdr:spPr>
            <a:xfrm>
              <a:off x="2845791" y="-12594714"/>
              <a:ext cx="3800473" cy="800102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4D32C3E-2DDA-43A7-B315-A677E40397F8}" type="TxLink">
                <a:rPr lang="en-US" sz="24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Principal</a:t>
              </a:fld>
              <a:endParaRPr lang="en-US" sz="2400"/>
            </a:p>
          </xdr:txBody>
        </xdr:sp>
      </xdr:grpSp>
      <xdr:grpSp>
        <xdr:nvGrpSpPr>
          <xdr:cNvPr id="13364" name="Group 13363" hidden="1">
            <a:extLst>
              <a:ext uri="{FF2B5EF4-FFF2-40B4-BE49-F238E27FC236}">
                <a16:creationId xmlns:a16="http://schemas.microsoft.com/office/drawing/2014/main" id="{00000000-0008-0000-0100-000034340000}"/>
              </a:ext>
            </a:extLst>
          </xdr:cNvPr>
          <xdr:cNvGrpSpPr/>
        </xdr:nvGrpSpPr>
        <xdr:grpSpPr>
          <a:xfrm>
            <a:off x="1352550" y="-4276721"/>
            <a:ext cx="4425843" cy="1699481"/>
            <a:chOff x="1207493" y="-12880430"/>
            <a:chExt cx="6449249" cy="2418968"/>
          </a:xfrm>
        </xdr:grpSpPr>
        <xdr:sp macro="" textlink="">
          <xdr:nvSpPr>
            <xdr:cNvPr id="13366" name="Flowchart: Off-page Connector 13365" hidden="1">
              <a:extLst>
                <a:ext uri="{FF2B5EF4-FFF2-40B4-BE49-F238E27FC236}">
                  <a16:creationId xmlns:a16="http://schemas.microsoft.com/office/drawing/2014/main" id="{00000000-0008-0000-0100-000036340000}"/>
                </a:ext>
              </a:extLst>
            </xdr:cNvPr>
            <xdr:cNvSpPr/>
          </xdr:nvSpPr>
          <xdr:spPr>
            <a:xfrm>
              <a:off x="1207493" y="-12556584"/>
              <a:ext cx="1390650" cy="2095122"/>
            </a:xfrm>
            <a:prstGeom prst="flowChartOffpageConnector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13367" name="Flowchart: Off-page Connector 13366" hidden="1">
              <a:extLst>
                <a:ext uri="{FF2B5EF4-FFF2-40B4-BE49-F238E27FC236}">
                  <a16:creationId xmlns:a16="http://schemas.microsoft.com/office/drawing/2014/main" id="{00000000-0008-0000-0100-000037340000}"/>
                </a:ext>
              </a:extLst>
            </xdr:cNvPr>
            <xdr:cNvSpPr/>
          </xdr:nvSpPr>
          <xdr:spPr>
            <a:xfrm>
              <a:off x="1207493" y="-12870908"/>
              <a:ext cx="1390649" cy="1658044"/>
            </a:xfrm>
            <a:prstGeom prst="flowChartOffpageConnector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368" name="Flowchart: Off-page Connector 13367" hidden="1">
              <a:extLst>
                <a:ext uri="{FF2B5EF4-FFF2-40B4-BE49-F238E27FC236}">
                  <a16:creationId xmlns:a16="http://schemas.microsoft.com/office/drawing/2014/main" id="{00000000-0008-0000-0100-000038340000}"/>
                </a:ext>
              </a:extLst>
            </xdr:cNvPr>
            <xdr:cNvSpPr/>
          </xdr:nvSpPr>
          <xdr:spPr>
            <a:xfrm rot="16200000">
              <a:off x="4265089" y="-14265572"/>
              <a:ext cx="1711237" cy="5072068"/>
            </a:xfrm>
            <a:prstGeom prst="flowChartOffpageConnector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369" name="Flowchart: Off-page Connector 13368" hidden="1">
              <a:extLst>
                <a:ext uri="{FF2B5EF4-FFF2-40B4-BE49-F238E27FC236}">
                  <a16:creationId xmlns:a16="http://schemas.microsoft.com/office/drawing/2014/main" id="{00000000-0008-0000-0100-000039340000}"/>
                </a:ext>
              </a:extLst>
            </xdr:cNvPr>
            <xdr:cNvSpPr/>
          </xdr:nvSpPr>
          <xdr:spPr>
            <a:xfrm rot="16200000">
              <a:off x="4442766" y="-14739346"/>
              <a:ext cx="1354238" cy="5072069"/>
            </a:xfrm>
            <a:prstGeom prst="flowChartOffpageConnector">
              <a:avLst/>
            </a:prstGeom>
            <a:solidFill>
              <a:schemeClr val="bg1"/>
            </a:solidFill>
            <a:ln>
              <a:solidFill>
                <a:schemeClr val="lt1">
                  <a:shade val="5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WorkSheet!J6">
          <xdr:nvSpPr>
            <xdr:cNvPr id="13370" name="TextBox 13369" hidden="1">
              <a:extLst>
                <a:ext uri="{FF2B5EF4-FFF2-40B4-BE49-F238E27FC236}">
                  <a16:creationId xmlns:a16="http://schemas.microsoft.com/office/drawing/2014/main" id="{00000000-0008-0000-0100-00003A340000}"/>
                </a:ext>
              </a:extLst>
            </xdr:cNvPr>
            <xdr:cNvSpPr txBox="1"/>
          </xdr:nvSpPr>
          <xdr:spPr>
            <a:xfrm>
              <a:off x="2539938" y="-12866873"/>
              <a:ext cx="4134091" cy="122017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684B019-8D56-41E1-A19C-766FE5C6432B}" type="TxLink">
                <a:rPr lang="en-US" sz="24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HR</a:t>
              </a:fld>
              <a:endParaRPr lang="en-US" sz="2400"/>
            </a:p>
          </xdr:txBody>
        </xdr:sp>
      </xdr:grpSp>
      <xdr:grpSp>
        <xdr:nvGrpSpPr>
          <xdr:cNvPr id="13371" name="Group 13370" hidden="1">
            <a:extLst>
              <a:ext uri="{FF2B5EF4-FFF2-40B4-BE49-F238E27FC236}">
                <a16:creationId xmlns:a16="http://schemas.microsoft.com/office/drawing/2014/main" id="{00000000-0008-0000-0100-00003B340000}"/>
              </a:ext>
            </a:extLst>
          </xdr:cNvPr>
          <xdr:cNvGrpSpPr/>
        </xdr:nvGrpSpPr>
        <xdr:grpSpPr>
          <a:xfrm>
            <a:off x="1295400" y="-2352674"/>
            <a:ext cx="4425840" cy="1641176"/>
            <a:chOff x="1207492" y="-12880460"/>
            <a:chExt cx="6449246" cy="2335984"/>
          </a:xfrm>
        </xdr:grpSpPr>
        <xdr:sp macro="" textlink="">
          <xdr:nvSpPr>
            <xdr:cNvPr id="13373" name="Flowchart: Off-page Connector 13372" hidden="1">
              <a:extLst>
                <a:ext uri="{FF2B5EF4-FFF2-40B4-BE49-F238E27FC236}">
                  <a16:creationId xmlns:a16="http://schemas.microsoft.com/office/drawing/2014/main" id="{00000000-0008-0000-0100-00003D340000}"/>
                </a:ext>
              </a:extLst>
            </xdr:cNvPr>
            <xdr:cNvSpPr/>
          </xdr:nvSpPr>
          <xdr:spPr>
            <a:xfrm>
              <a:off x="1207492" y="-12556607"/>
              <a:ext cx="1390650" cy="2012131"/>
            </a:xfrm>
            <a:prstGeom prst="flowChartOffpageConnector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13374" name="Flowchart: Off-page Connector 13373" hidden="1">
              <a:extLst>
                <a:ext uri="{FF2B5EF4-FFF2-40B4-BE49-F238E27FC236}">
                  <a16:creationId xmlns:a16="http://schemas.microsoft.com/office/drawing/2014/main" id="{00000000-0008-0000-0100-00003E340000}"/>
                </a:ext>
              </a:extLst>
            </xdr:cNvPr>
            <xdr:cNvSpPr/>
          </xdr:nvSpPr>
          <xdr:spPr>
            <a:xfrm>
              <a:off x="1207492" y="-12870933"/>
              <a:ext cx="1390650" cy="1533525"/>
            </a:xfrm>
            <a:prstGeom prst="flowChartOffpageConnector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375" name="Flowchart: Off-page Connector 13374" hidden="1">
              <a:extLst>
                <a:ext uri="{FF2B5EF4-FFF2-40B4-BE49-F238E27FC236}">
                  <a16:creationId xmlns:a16="http://schemas.microsoft.com/office/drawing/2014/main" id="{00000000-0008-0000-0100-00003F340000}"/>
                </a:ext>
              </a:extLst>
            </xdr:cNvPr>
            <xdr:cNvSpPr/>
          </xdr:nvSpPr>
          <xdr:spPr>
            <a:xfrm rot="16200000">
              <a:off x="4298980" y="-14299492"/>
              <a:ext cx="1643451" cy="5072064"/>
            </a:xfrm>
            <a:prstGeom prst="flowChartOffpageConnector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376" name="Flowchart: Off-page Connector 13375" hidden="1">
              <a:extLst>
                <a:ext uri="{FF2B5EF4-FFF2-40B4-BE49-F238E27FC236}">
                  <a16:creationId xmlns:a16="http://schemas.microsoft.com/office/drawing/2014/main" id="{00000000-0008-0000-0100-000040340000}"/>
                </a:ext>
              </a:extLst>
            </xdr:cNvPr>
            <xdr:cNvSpPr/>
          </xdr:nvSpPr>
          <xdr:spPr>
            <a:xfrm rot="16200000">
              <a:off x="4493617" y="-14790222"/>
              <a:ext cx="1252541" cy="5072065"/>
            </a:xfrm>
            <a:prstGeom prst="flowChartOffpageConnector">
              <a:avLst/>
            </a:prstGeom>
            <a:solidFill>
              <a:schemeClr val="bg1"/>
            </a:solidFill>
            <a:ln>
              <a:solidFill>
                <a:schemeClr val="lt1">
                  <a:shade val="5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WorkSheet!L6">
          <xdr:nvSpPr>
            <xdr:cNvPr id="13377" name="TextBox 13376" hidden="1">
              <a:extLst>
                <a:ext uri="{FF2B5EF4-FFF2-40B4-BE49-F238E27FC236}">
                  <a16:creationId xmlns:a16="http://schemas.microsoft.com/office/drawing/2014/main" id="{00000000-0008-0000-0100-000041340000}"/>
                </a:ext>
              </a:extLst>
            </xdr:cNvPr>
            <xdr:cNvSpPr txBox="1"/>
          </xdr:nvSpPr>
          <xdr:spPr>
            <a:xfrm>
              <a:off x="2845789" y="-12594706"/>
              <a:ext cx="3800473" cy="8001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194C9D3-7BAF-42D4-B700-55A18A3EF96F}" type="TxLink">
                <a:rPr lang="en-US" sz="24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3</a:t>
              </a:fld>
              <a:endParaRPr lang="en-US" sz="2400"/>
            </a:p>
          </xdr:txBody>
        </xdr:sp>
      </xdr:grpSp>
      <xdr:grpSp>
        <xdr:nvGrpSpPr>
          <xdr:cNvPr id="13378" name="Group 13377" hidden="1">
            <a:extLst>
              <a:ext uri="{FF2B5EF4-FFF2-40B4-BE49-F238E27FC236}">
                <a16:creationId xmlns:a16="http://schemas.microsoft.com/office/drawing/2014/main" id="{00000000-0008-0000-0100-000042340000}"/>
              </a:ext>
            </a:extLst>
          </xdr:cNvPr>
          <xdr:cNvGrpSpPr/>
        </xdr:nvGrpSpPr>
        <xdr:grpSpPr>
          <a:xfrm>
            <a:off x="6162675" y="-7800977"/>
            <a:ext cx="4444892" cy="1606185"/>
            <a:chOff x="1207492" y="-12880443"/>
            <a:chExt cx="6477006" cy="2286176"/>
          </a:xfrm>
        </xdr:grpSpPr>
        <xdr:sp macro="" textlink="">
          <xdr:nvSpPr>
            <xdr:cNvPr id="13379" name="Flowchart: Off-page Connector 13378" hidden="1">
              <a:extLst>
                <a:ext uri="{FF2B5EF4-FFF2-40B4-BE49-F238E27FC236}">
                  <a16:creationId xmlns:a16="http://schemas.microsoft.com/office/drawing/2014/main" id="{00000000-0008-0000-0100-000043340000}"/>
                </a:ext>
              </a:extLst>
            </xdr:cNvPr>
            <xdr:cNvSpPr/>
          </xdr:nvSpPr>
          <xdr:spPr>
            <a:xfrm>
              <a:off x="1207492" y="-12556594"/>
              <a:ext cx="1390648" cy="1962327"/>
            </a:xfrm>
            <a:prstGeom prst="flowChartOffpageConnector">
              <a:avLst/>
            </a:prstGeom>
            <a:solidFill>
              <a:srgbClr val="7030A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13380" name="Flowchart: Off-page Connector 13379" hidden="1">
              <a:extLst>
                <a:ext uri="{FF2B5EF4-FFF2-40B4-BE49-F238E27FC236}">
                  <a16:creationId xmlns:a16="http://schemas.microsoft.com/office/drawing/2014/main" id="{00000000-0008-0000-0100-000044340000}"/>
                </a:ext>
              </a:extLst>
            </xdr:cNvPr>
            <xdr:cNvSpPr/>
          </xdr:nvSpPr>
          <xdr:spPr>
            <a:xfrm>
              <a:off x="1207492" y="-12870919"/>
              <a:ext cx="1390649" cy="1533526"/>
            </a:xfrm>
            <a:prstGeom prst="flowChartOffpageConnector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381" name="Flowchart: Off-page Connector 13380" hidden="1">
              <a:extLst>
                <a:ext uri="{FF2B5EF4-FFF2-40B4-BE49-F238E27FC236}">
                  <a16:creationId xmlns:a16="http://schemas.microsoft.com/office/drawing/2014/main" id="{00000000-0008-0000-0100-000045340000}"/>
                </a:ext>
              </a:extLst>
            </xdr:cNvPr>
            <xdr:cNvSpPr/>
          </xdr:nvSpPr>
          <xdr:spPr>
            <a:xfrm rot="16200000">
              <a:off x="4347080" y="-14319814"/>
              <a:ext cx="1602771" cy="5072064"/>
            </a:xfrm>
            <a:prstGeom prst="flowChartOffpageConnector">
              <a:avLst/>
            </a:prstGeom>
            <a:solidFill>
              <a:srgbClr val="7030A0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382" name="Flowchart: Off-page Connector 13381" hidden="1">
              <a:extLst>
                <a:ext uri="{FF2B5EF4-FFF2-40B4-BE49-F238E27FC236}">
                  <a16:creationId xmlns:a16="http://schemas.microsoft.com/office/drawing/2014/main" id="{00000000-0008-0000-0100-000046340000}"/>
                </a:ext>
              </a:extLst>
            </xdr:cNvPr>
            <xdr:cNvSpPr/>
          </xdr:nvSpPr>
          <xdr:spPr>
            <a:xfrm rot="16200000">
              <a:off x="4493619" y="-14790206"/>
              <a:ext cx="1252538" cy="5072064"/>
            </a:xfrm>
            <a:prstGeom prst="flowChartOffpageConnector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WorkSheet!M6">
          <xdr:nvSpPr>
            <xdr:cNvPr id="13383" name="TextBox 13382" hidden="1">
              <a:extLst>
                <a:ext uri="{FF2B5EF4-FFF2-40B4-BE49-F238E27FC236}">
                  <a16:creationId xmlns:a16="http://schemas.microsoft.com/office/drawing/2014/main" id="{00000000-0008-0000-0100-000047340000}"/>
                </a:ext>
              </a:extLst>
            </xdr:cNvPr>
            <xdr:cNvSpPr txBox="1"/>
          </xdr:nvSpPr>
          <xdr:spPr>
            <a:xfrm>
              <a:off x="2845791" y="-12594696"/>
              <a:ext cx="3800476" cy="800101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DA2D19A-981C-4BAC-BCE0-D6F7DAE93724}" type="TxLink">
                <a:rPr lang="en-US" sz="24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$271,166 </a:t>
              </a:fld>
              <a:endParaRPr lang="en-US" sz="2400"/>
            </a:p>
          </xdr:txBody>
        </xdr:sp>
      </xdr:grpSp>
      <xdr:grpSp>
        <xdr:nvGrpSpPr>
          <xdr:cNvPr id="13399" name="Group 13398" hidden="1">
            <a:extLst>
              <a:ext uri="{FF2B5EF4-FFF2-40B4-BE49-F238E27FC236}">
                <a16:creationId xmlns:a16="http://schemas.microsoft.com/office/drawing/2014/main" id="{00000000-0008-0000-0100-000057340000}"/>
              </a:ext>
            </a:extLst>
          </xdr:cNvPr>
          <xdr:cNvGrpSpPr/>
        </xdr:nvGrpSpPr>
        <xdr:grpSpPr>
          <a:xfrm>
            <a:off x="6219825" y="-6010274"/>
            <a:ext cx="4425840" cy="1664500"/>
            <a:chOff x="1207492" y="-12880426"/>
            <a:chExt cx="6449247" cy="2369176"/>
          </a:xfrm>
        </xdr:grpSpPr>
        <xdr:sp macro="" textlink="">
          <xdr:nvSpPr>
            <xdr:cNvPr id="13401" name="Flowchart: Off-page Connector 13400" hidden="1">
              <a:extLst>
                <a:ext uri="{FF2B5EF4-FFF2-40B4-BE49-F238E27FC236}">
                  <a16:creationId xmlns:a16="http://schemas.microsoft.com/office/drawing/2014/main" id="{00000000-0008-0000-0100-000059340000}"/>
                </a:ext>
              </a:extLst>
            </xdr:cNvPr>
            <xdr:cNvSpPr/>
          </xdr:nvSpPr>
          <xdr:spPr>
            <a:xfrm>
              <a:off x="1207492" y="-12556578"/>
              <a:ext cx="1390650" cy="2045328"/>
            </a:xfrm>
            <a:prstGeom prst="flowChartOffpageConnector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13402" name="Flowchart: Off-page Connector 13401" hidden="1">
              <a:extLst>
                <a:ext uri="{FF2B5EF4-FFF2-40B4-BE49-F238E27FC236}">
                  <a16:creationId xmlns:a16="http://schemas.microsoft.com/office/drawing/2014/main" id="{00000000-0008-0000-0100-00005A340000}"/>
                </a:ext>
              </a:extLst>
            </xdr:cNvPr>
            <xdr:cNvSpPr/>
          </xdr:nvSpPr>
          <xdr:spPr>
            <a:xfrm>
              <a:off x="1207492" y="-12870901"/>
              <a:ext cx="1390650" cy="1533524"/>
            </a:xfrm>
            <a:prstGeom prst="flowChartOffpageConnector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403" name="Flowchart: Off-page Connector 13402" hidden="1">
              <a:extLst>
                <a:ext uri="{FF2B5EF4-FFF2-40B4-BE49-F238E27FC236}">
                  <a16:creationId xmlns:a16="http://schemas.microsoft.com/office/drawing/2014/main" id="{00000000-0008-0000-0100-00005B340000}"/>
                </a:ext>
              </a:extLst>
            </xdr:cNvPr>
            <xdr:cNvSpPr/>
          </xdr:nvSpPr>
          <xdr:spPr>
            <a:xfrm rot="16200000">
              <a:off x="4285425" y="-14285904"/>
              <a:ext cx="1670563" cy="5072064"/>
            </a:xfrm>
            <a:prstGeom prst="flowChartOffpageConnector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404" name="Flowchart: Off-page Connector 13403" hidden="1">
              <a:extLst>
                <a:ext uri="{FF2B5EF4-FFF2-40B4-BE49-F238E27FC236}">
                  <a16:creationId xmlns:a16="http://schemas.microsoft.com/office/drawing/2014/main" id="{00000000-0008-0000-0100-00005C340000}"/>
                </a:ext>
              </a:extLst>
            </xdr:cNvPr>
            <xdr:cNvSpPr/>
          </xdr:nvSpPr>
          <xdr:spPr>
            <a:xfrm rot="16200000">
              <a:off x="4493622" y="-14790191"/>
              <a:ext cx="1252536" cy="5072065"/>
            </a:xfrm>
            <a:prstGeom prst="flowChartOffpageConnector">
              <a:avLst/>
            </a:prstGeom>
            <a:solidFill>
              <a:schemeClr val="bg1"/>
            </a:solidFill>
            <a:ln>
              <a:solidFill>
                <a:schemeClr val="lt1">
                  <a:shade val="5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WorkSheet!N6">
          <xdr:nvSpPr>
            <xdr:cNvPr id="13405" name="TextBox 13404" hidden="1">
              <a:extLst>
                <a:ext uri="{FF2B5EF4-FFF2-40B4-BE49-F238E27FC236}">
                  <a16:creationId xmlns:a16="http://schemas.microsoft.com/office/drawing/2014/main" id="{00000000-0008-0000-0100-00005D340000}"/>
                </a:ext>
              </a:extLst>
            </xdr:cNvPr>
            <xdr:cNvSpPr txBox="1"/>
          </xdr:nvSpPr>
          <xdr:spPr>
            <a:xfrm>
              <a:off x="2845792" y="-12594676"/>
              <a:ext cx="3800475" cy="8001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1F29554-B868-4F7E-9E24-9E5CA3014BA3}" type="TxLink">
                <a:rPr lang="en-US" sz="24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No</a:t>
              </a:fld>
              <a:endParaRPr lang="en-US" sz="2400"/>
            </a:p>
          </xdr:txBody>
        </xdr:sp>
      </xdr:grpSp>
      <xdr:grpSp>
        <xdr:nvGrpSpPr>
          <xdr:cNvPr id="13413" name="Group 13412" hidden="1">
            <a:extLst>
              <a:ext uri="{FF2B5EF4-FFF2-40B4-BE49-F238E27FC236}">
                <a16:creationId xmlns:a16="http://schemas.microsoft.com/office/drawing/2014/main" id="{00000000-0008-0000-0100-000065340000}"/>
              </a:ext>
            </a:extLst>
          </xdr:cNvPr>
          <xdr:cNvGrpSpPr/>
        </xdr:nvGrpSpPr>
        <xdr:grpSpPr>
          <a:xfrm>
            <a:off x="6353175" y="-4276728"/>
            <a:ext cx="4425836" cy="1699485"/>
            <a:chOff x="1207491" y="-12880406"/>
            <a:chExt cx="6449240" cy="2418967"/>
          </a:xfrm>
        </xdr:grpSpPr>
        <xdr:sp macro="" textlink="">
          <xdr:nvSpPr>
            <xdr:cNvPr id="13415" name="Flowchart: Off-page Connector 13414" hidden="1">
              <a:extLst>
                <a:ext uri="{FF2B5EF4-FFF2-40B4-BE49-F238E27FC236}">
                  <a16:creationId xmlns:a16="http://schemas.microsoft.com/office/drawing/2014/main" id="{00000000-0008-0000-0100-000067340000}"/>
                </a:ext>
              </a:extLst>
            </xdr:cNvPr>
            <xdr:cNvSpPr/>
          </xdr:nvSpPr>
          <xdr:spPr>
            <a:xfrm>
              <a:off x="1207491" y="-12556557"/>
              <a:ext cx="1390649" cy="2095118"/>
            </a:xfrm>
            <a:prstGeom prst="flowChartOffpageConnector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13416" name="Flowchart: Off-page Connector 13415" hidden="1">
              <a:extLst>
                <a:ext uri="{FF2B5EF4-FFF2-40B4-BE49-F238E27FC236}">
                  <a16:creationId xmlns:a16="http://schemas.microsoft.com/office/drawing/2014/main" id="{00000000-0008-0000-0100-000068340000}"/>
                </a:ext>
              </a:extLst>
            </xdr:cNvPr>
            <xdr:cNvSpPr/>
          </xdr:nvSpPr>
          <xdr:spPr>
            <a:xfrm>
              <a:off x="1207492" y="-12870878"/>
              <a:ext cx="1390649" cy="1533520"/>
            </a:xfrm>
            <a:prstGeom prst="flowChartOffpageConnector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417" name="Flowchart: Off-page Connector 13416" hidden="1">
              <a:extLst>
                <a:ext uri="{FF2B5EF4-FFF2-40B4-BE49-F238E27FC236}">
                  <a16:creationId xmlns:a16="http://schemas.microsoft.com/office/drawing/2014/main" id="{00000000-0008-0000-0100-000069340000}"/>
                </a:ext>
              </a:extLst>
            </xdr:cNvPr>
            <xdr:cNvSpPr/>
          </xdr:nvSpPr>
          <xdr:spPr>
            <a:xfrm rot="16200000">
              <a:off x="4265084" y="-14265546"/>
              <a:ext cx="1711230" cy="5072065"/>
            </a:xfrm>
            <a:prstGeom prst="flowChartOffpageConnector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418" name="Flowchart: Off-page Connector 13417" hidden="1">
              <a:extLst>
                <a:ext uri="{FF2B5EF4-FFF2-40B4-BE49-F238E27FC236}">
                  <a16:creationId xmlns:a16="http://schemas.microsoft.com/office/drawing/2014/main" id="{00000000-0008-0000-0100-00006A340000}"/>
                </a:ext>
              </a:extLst>
            </xdr:cNvPr>
            <xdr:cNvSpPr/>
          </xdr:nvSpPr>
          <xdr:spPr>
            <a:xfrm rot="16200000">
              <a:off x="4493620" y="-14790170"/>
              <a:ext cx="1252534" cy="5072062"/>
            </a:xfrm>
            <a:prstGeom prst="flowChartOffpageConnector">
              <a:avLst/>
            </a:prstGeom>
            <a:solidFill>
              <a:schemeClr val="bg1"/>
            </a:solidFill>
            <a:ln>
              <a:solidFill>
                <a:schemeClr val="lt1">
                  <a:shade val="5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WorkSheet!O6">
          <xdr:nvSpPr>
            <xdr:cNvPr id="13419" name="TextBox 13418" hidden="1">
              <a:extLst>
                <a:ext uri="{FF2B5EF4-FFF2-40B4-BE49-F238E27FC236}">
                  <a16:creationId xmlns:a16="http://schemas.microsoft.com/office/drawing/2014/main" id="{00000000-0008-0000-0100-00006B340000}"/>
                </a:ext>
              </a:extLst>
            </xdr:cNvPr>
            <xdr:cNvSpPr txBox="1"/>
          </xdr:nvSpPr>
          <xdr:spPr>
            <a:xfrm>
              <a:off x="2845793" y="-12594656"/>
              <a:ext cx="3800474" cy="8001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56326B9-3456-46A4-969F-BD471136CBE2}" type="TxLink">
                <a:rPr lang="en-US" sz="24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No</a:t>
              </a:fld>
              <a:endParaRPr lang="en-US" sz="2400"/>
            </a:p>
          </xdr:txBody>
        </xdr:sp>
      </xdr:grpSp>
      <xdr:grpSp>
        <xdr:nvGrpSpPr>
          <xdr:cNvPr id="13420" name="Group 13419" hidden="1">
            <a:extLst>
              <a:ext uri="{FF2B5EF4-FFF2-40B4-BE49-F238E27FC236}">
                <a16:creationId xmlns:a16="http://schemas.microsoft.com/office/drawing/2014/main" id="{00000000-0008-0000-0100-00006C340000}"/>
              </a:ext>
            </a:extLst>
          </xdr:cNvPr>
          <xdr:cNvGrpSpPr/>
        </xdr:nvGrpSpPr>
        <xdr:grpSpPr>
          <a:xfrm>
            <a:off x="6248400" y="-2343153"/>
            <a:ext cx="4425838" cy="1711147"/>
            <a:chOff x="1207492" y="-12880432"/>
            <a:chExt cx="6449245" cy="2435572"/>
          </a:xfrm>
        </xdr:grpSpPr>
        <xdr:sp macro="" textlink="">
          <xdr:nvSpPr>
            <xdr:cNvPr id="13422" name="Flowchart: Off-page Connector 13421" hidden="1">
              <a:extLst>
                <a:ext uri="{FF2B5EF4-FFF2-40B4-BE49-F238E27FC236}">
                  <a16:creationId xmlns:a16="http://schemas.microsoft.com/office/drawing/2014/main" id="{00000000-0008-0000-0100-00006E340000}"/>
                </a:ext>
              </a:extLst>
            </xdr:cNvPr>
            <xdr:cNvSpPr/>
          </xdr:nvSpPr>
          <xdr:spPr>
            <a:xfrm>
              <a:off x="1207492" y="-12556583"/>
              <a:ext cx="1390650" cy="2111723"/>
            </a:xfrm>
            <a:prstGeom prst="flowChartOffpageConnector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13423" name="Flowchart: Off-page Connector 13422" hidden="1">
              <a:extLst>
                <a:ext uri="{FF2B5EF4-FFF2-40B4-BE49-F238E27FC236}">
                  <a16:creationId xmlns:a16="http://schemas.microsoft.com/office/drawing/2014/main" id="{00000000-0008-0000-0100-00006F340000}"/>
                </a:ext>
              </a:extLst>
            </xdr:cNvPr>
            <xdr:cNvSpPr/>
          </xdr:nvSpPr>
          <xdr:spPr>
            <a:xfrm>
              <a:off x="1207492" y="-12870907"/>
              <a:ext cx="1390650" cy="1533530"/>
            </a:xfrm>
            <a:prstGeom prst="flowChartOffpageConnector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424" name="Flowchart: Off-page Connector 13423" hidden="1">
              <a:extLst>
                <a:ext uri="{FF2B5EF4-FFF2-40B4-BE49-F238E27FC236}">
                  <a16:creationId xmlns:a16="http://schemas.microsoft.com/office/drawing/2014/main" id="{00000000-0008-0000-0100-000070340000}"/>
                </a:ext>
              </a:extLst>
            </xdr:cNvPr>
            <xdr:cNvSpPr/>
          </xdr:nvSpPr>
          <xdr:spPr>
            <a:xfrm rot="16200000">
              <a:off x="4258309" y="-14258793"/>
              <a:ext cx="1724792" cy="5072064"/>
            </a:xfrm>
            <a:prstGeom prst="flowChartOffpageConnector">
              <a:avLst/>
            </a:prstGeom>
            <a:solidFill>
              <a:srgbClr val="7030A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425" name="Flowchart: Off-page Connector 13424" hidden="1">
              <a:extLst>
                <a:ext uri="{FF2B5EF4-FFF2-40B4-BE49-F238E27FC236}">
                  <a16:creationId xmlns:a16="http://schemas.microsoft.com/office/drawing/2014/main" id="{00000000-0008-0000-0100-000071340000}"/>
                </a:ext>
              </a:extLst>
            </xdr:cNvPr>
            <xdr:cNvSpPr/>
          </xdr:nvSpPr>
          <xdr:spPr>
            <a:xfrm rot="16200000">
              <a:off x="4493618" y="-14790196"/>
              <a:ext cx="1252538" cy="5072065"/>
            </a:xfrm>
            <a:prstGeom prst="flowChartOffpageConnector">
              <a:avLst/>
            </a:prstGeom>
            <a:solidFill>
              <a:schemeClr val="bg1"/>
            </a:solidFill>
            <a:ln>
              <a:solidFill>
                <a:schemeClr val="lt1">
                  <a:shade val="5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WorkSheet!P6">
          <xdr:nvSpPr>
            <xdr:cNvPr id="13426" name="TextBox 13425" hidden="1">
              <a:extLst>
                <a:ext uri="{FF2B5EF4-FFF2-40B4-BE49-F238E27FC236}">
                  <a16:creationId xmlns:a16="http://schemas.microsoft.com/office/drawing/2014/main" id="{00000000-0008-0000-0100-000072340000}"/>
                </a:ext>
              </a:extLst>
            </xdr:cNvPr>
            <xdr:cNvSpPr txBox="1"/>
          </xdr:nvSpPr>
          <xdr:spPr>
            <a:xfrm>
              <a:off x="2845793" y="-12594682"/>
              <a:ext cx="3800474" cy="8001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1AF8A6D-6672-42FD-B631-8D80D1B86362}" type="TxLink">
                <a:rPr lang="en-US" sz="24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2/12/2020</a:t>
              </a:fld>
              <a:endParaRPr lang="en-US" sz="2400"/>
            </a:p>
          </xdr:txBody>
        </xdr:sp>
      </xdr:grpSp>
      <xdr:graphicFrame macro="">
        <xdr:nvGraphicFramePr>
          <xdr:cNvPr id="13435" name="Chart 13434" hidden="1">
            <a:extLst>
              <a:ext uri="{FF2B5EF4-FFF2-40B4-BE49-F238E27FC236}">
                <a16:creationId xmlns:a16="http://schemas.microsoft.com/office/drawing/2014/main" id="{00000000-0008-0000-0100-00007B340000}"/>
              </a:ext>
            </a:extLst>
          </xdr:cNvPr>
          <xdr:cNvGraphicFramePr>
            <a:graphicFrameLocks/>
          </xdr:cNvGraphicFramePr>
        </xdr:nvGraphicFramePr>
        <xdr:xfrm>
          <a:off x="12144375" y="-7591425"/>
          <a:ext cx="4352924" cy="34575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[0]!MultiplicationSign4_Click" textlink="">
        <xdr:nvSpPr>
          <xdr:cNvPr id="5" name="Multiplication Sign 4" hidden="1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5868650" y="-9001125"/>
            <a:ext cx="647700" cy="647700"/>
          </a:xfrm>
          <a:prstGeom prst="mathMultiply">
            <a:avLst/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" name="Graphic 15" descr="Daily calendar with solid fill" hidden="1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6376950" y="-2176500"/>
            <a:ext cx="728700" cy="728700"/>
          </a:xfrm>
          <a:prstGeom prst="rect">
            <a:avLst/>
          </a:prstGeom>
        </xdr:spPr>
      </xdr:pic>
      <xdr:pic>
        <xdr:nvPicPr>
          <xdr:cNvPr id="14" name="Graphic 13" descr="Money with solid fill" hidden="1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6312675" y="-7679550"/>
            <a:ext cx="728700" cy="728700"/>
          </a:xfrm>
          <a:prstGeom prst="rect">
            <a:avLst/>
          </a:prstGeom>
        </xdr:spPr>
      </xdr:pic>
      <xdr:pic>
        <xdr:nvPicPr>
          <xdr:cNvPr id="7" name="Graphic 6" descr="Children with solid fill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419225" y="-2200275"/>
            <a:ext cx="728700" cy="728700"/>
          </a:xfrm>
          <a:prstGeom prst="rect">
            <a:avLst/>
          </a:prstGeom>
        </xdr:spPr>
      </xdr:pic>
      <xdr:pic>
        <xdr:nvPicPr>
          <xdr:cNvPr id="18" name="Graphic 17" descr="Business Growth with solid fill" hidden="1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476374" y="-4219576"/>
            <a:ext cx="828675" cy="828675"/>
          </a:xfrm>
          <a:prstGeom prst="rect">
            <a:avLst/>
          </a:prstGeom>
        </xdr:spPr>
      </xdr:pic>
      <xdr:pic>
        <xdr:nvPicPr>
          <xdr:cNvPr id="20" name="Graphic 19" descr="Ribbon with solid fill" hidden="1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26350" y="-5917425"/>
            <a:ext cx="764400" cy="764400"/>
          </a:xfrm>
          <a:prstGeom prst="rect">
            <a:avLst/>
          </a:prstGeom>
        </xdr:spPr>
      </xdr:pic>
      <xdr:pic>
        <xdr:nvPicPr>
          <xdr:cNvPr id="27" name="Graphic 26" descr="Diamond with solid fill" hidden="1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381126" y="-7448549"/>
            <a:ext cx="752474" cy="752474"/>
          </a:xfrm>
          <a:prstGeom prst="rect">
            <a:avLst/>
          </a:prstGeom>
        </xdr:spPr>
      </xdr:pic>
      <xdr:sp macro="" textlink="WorkSheet!O6">
        <xdr:nvSpPr>
          <xdr:cNvPr id="30" name="TextBox 29" hidden="1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2343150" y="-6867525"/>
            <a:ext cx="2608103" cy="5621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0" i="0" u="none" strike="noStrike">
                <a:solidFill>
                  <a:schemeClr val="bg1"/>
                </a:solidFill>
                <a:latin typeface="+mn-lt"/>
                <a:cs typeface="Calibri"/>
              </a:rPr>
              <a:t>Employee</a:t>
            </a:r>
            <a:r>
              <a:rPr lang="en-US" sz="2400" b="0" i="0" u="none" strike="noStrike" baseline="0">
                <a:solidFill>
                  <a:schemeClr val="bg1"/>
                </a:solidFill>
                <a:latin typeface="+mn-lt"/>
                <a:cs typeface="Calibri"/>
              </a:rPr>
              <a:t> ID</a:t>
            </a:r>
            <a:endParaRPr lang="en-US" sz="2400">
              <a:solidFill>
                <a:schemeClr val="bg1"/>
              </a:solidFill>
            </a:endParaRPr>
          </a:p>
        </xdr:txBody>
      </xdr:sp>
      <xdr:sp macro="" textlink="WorkSheet!O6">
        <xdr:nvSpPr>
          <xdr:cNvPr id="31" name="TextBox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 txBox="1"/>
        </xdr:nvSpPr>
        <xdr:spPr>
          <a:xfrm>
            <a:off x="2333625" y="-5162550"/>
            <a:ext cx="2608103" cy="5621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0" i="0" u="none" strike="noStrike">
                <a:solidFill>
                  <a:schemeClr val="bg1"/>
                </a:solidFill>
                <a:latin typeface="+mn-lt"/>
                <a:cs typeface="Calibri"/>
              </a:rPr>
              <a:t>Rank</a:t>
            </a:r>
            <a:endParaRPr lang="en-US" sz="2400">
              <a:solidFill>
                <a:schemeClr val="bg1"/>
              </a:solidFill>
            </a:endParaRPr>
          </a:p>
        </xdr:txBody>
      </xdr:sp>
      <xdr:sp macro="" textlink="WorkSheet!O6">
        <xdr:nvSpPr>
          <xdr:cNvPr id="32" name="TextBox 31" hidden="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2266950" y="-3419476"/>
            <a:ext cx="2608103" cy="5621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0" i="0" u="none" strike="noStrike">
                <a:solidFill>
                  <a:schemeClr val="bg1"/>
                </a:solidFill>
                <a:latin typeface="+mn-lt"/>
                <a:cs typeface="Calibri"/>
              </a:rPr>
              <a:t>Departmant</a:t>
            </a:r>
            <a:endParaRPr lang="en-US" sz="2400">
              <a:solidFill>
                <a:schemeClr val="bg1"/>
              </a:solidFill>
            </a:endParaRPr>
          </a:p>
        </xdr:txBody>
      </xdr:sp>
      <xdr:sp macro="" textlink="WorkSheet!O6">
        <xdr:nvSpPr>
          <xdr:cNvPr id="33" name="TextBox 32" hidden="1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2276475" y="-1524000"/>
            <a:ext cx="2608103" cy="5621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0" i="0" u="none" strike="noStrike">
                <a:solidFill>
                  <a:schemeClr val="bg1"/>
                </a:solidFill>
                <a:latin typeface="+mn-lt"/>
                <a:cs typeface="Calibri"/>
              </a:rPr>
              <a:t>Number of Kids</a:t>
            </a:r>
            <a:endParaRPr lang="en-US" sz="2400">
              <a:solidFill>
                <a:schemeClr val="bg1"/>
              </a:solidFill>
            </a:endParaRPr>
          </a:p>
        </xdr:txBody>
      </xdr:sp>
      <xdr:sp macro="" textlink="WorkSheet!O6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 txBox="1"/>
        </xdr:nvSpPr>
        <xdr:spPr>
          <a:xfrm>
            <a:off x="7029450" y="-6991350"/>
            <a:ext cx="2608103" cy="5621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0" i="0" u="none" strike="noStrike">
                <a:solidFill>
                  <a:schemeClr val="bg1"/>
                </a:solidFill>
                <a:latin typeface="+mn-lt"/>
                <a:cs typeface="Calibri"/>
              </a:rPr>
              <a:t>Salary $ (Yearly)</a:t>
            </a:r>
            <a:endParaRPr lang="en-US" sz="2400">
              <a:solidFill>
                <a:schemeClr val="bg1"/>
              </a:solidFill>
            </a:endParaRPr>
          </a:p>
        </xdr:txBody>
      </xdr:sp>
      <xdr:sp macro="" textlink="WorkSheet!O6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/>
        </xdr:nvSpPr>
        <xdr:spPr>
          <a:xfrm>
            <a:off x="7191375" y="-5162550"/>
            <a:ext cx="2608103" cy="5621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chemeClr val="bg1"/>
                </a:solidFill>
                <a:latin typeface="+mn-lt"/>
                <a:cs typeface="Calibri"/>
              </a:rPr>
              <a:t>Received Bonus in 2020?</a:t>
            </a:r>
            <a:endParaRPr lang="en-US" sz="1800">
              <a:solidFill>
                <a:schemeClr val="bg1"/>
              </a:solidFill>
            </a:endParaRPr>
          </a:p>
        </xdr:txBody>
      </xdr:sp>
      <xdr:sp macro="" textlink="WorkSheet!O6">
        <xdr:nvSpPr>
          <xdr:cNvPr id="36" name="TextBox 35" hidden="1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7439025" y="-3400425"/>
            <a:ext cx="2608103" cy="5621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400" b="0" i="0" u="none" strike="noStrike">
                <a:solidFill>
                  <a:schemeClr val="bg1"/>
                </a:solidFill>
                <a:latin typeface="+mn-lt"/>
                <a:cs typeface="Calibri"/>
              </a:rPr>
              <a:t>Satisfied from job</a:t>
            </a:r>
            <a:endParaRPr lang="en-US" sz="2400">
              <a:solidFill>
                <a:schemeClr val="bg1"/>
              </a:solidFill>
            </a:endParaRPr>
          </a:p>
        </xdr:txBody>
      </xdr:sp>
      <xdr:sp macro="" textlink="WorkSheet!O6">
        <xdr:nvSpPr>
          <xdr:cNvPr id="37" name="TextBox 36" hidden="1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/>
        </xdr:nvSpPr>
        <xdr:spPr>
          <a:xfrm>
            <a:off x="7258050" y="-1457325"/>
            <a:ext cx="2608103" cy="5621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b="0" i="0" u="none" strike="noStrike">
                <a:solidFill>
                  <a:schemeClr val="bg1"/>
                </a:solidFill>
                <a:latin typeface="+mn-lt"/>
                <a:cs typeface="Calibri"/>
              </a:rPr>
              <a:t>Employment Start Date</a:t>
            </a:r>
            <a:endParaRPr lang="en-US" sz="2000">
              <a:solidFill>
                <a:schemeClr val="bg1"/>
              </a:solidFill>
            </a:endParaRPr>
          </a:p>
        </xdr:txBody>
      </xdr:sp>
      <xdr:pic>
        <xdr:nvPicPr>
          <xdr:cNvPr id="39" name="Graphic 38" descr="Bar graph with upward trend with solid fill" hidden="1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6305550" y="-5876925"/>
            <a:ext cx="709650" cy="709650"/>
          </a:xfrm>
          <a:prstGeom prst="rect">
            <a:avLst/>
          </a:prstGeom>
        </xdr:spPr>
      </xdr:pic>
      <xdr:pic>
        <xdr:nvPicPr>
          <xdr:cNvPr id="41" name="Graphic 40" descr="Checkmark with solid fill" hidden="1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6438900" y="-4069576"/>
            <a:ext cx="697725" cy="697725"/>
          </a:xfrm>
          <a:prstGeom prst="rect">
            <a:avLst/>
          </a:prstGeom>
        </xdr:spPr>
      </xdr:pic>
      <xdr:grpSp>
        <xdr:nvGrpSpPr>
          <xdr:cNvPr id="44" name="Group 43" hidden="1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GrpSpPr/>
        </xdr:nvGrpSpPr>
        <xdr:grpSpPr>
          <a:xfrm>
            <a:off x="12249150" y="-3829050"/>
            <a:ext cx="4425840" cy="1571200"/>
            <a:chOff x="12220575" y="-3848100"/>
            <a:chExt cx="4425840" cy="1571200"/>
          </a:xfrm>
        </xdr:grpSpPr>
        <xdr:grpSp>
          <xdr:nvGrpSpPr>
            <xdr:cNvPr id="13438" name="Group 13437" hidden="1">
              <a:extLst>
                <a:ext uri="{FF2B5EF4-FFF2-40B4-BE49-F238E27FC236}">
                  <a16:creationId xmlns:a16="http://schemas.microsoft.com/office/drawing/2014/main" id="{00000000-0008-0000-0100-00007E340000}"/>
                </a:ext>
              </a:extLst>
            </xdr:cNvPr>
            <xdr:cNvGrpSpPr/>
          </xdr:nvGrpSpPr>
          <xdr:grpSpPr>
            <a:xfrm>
              <a:off x="12220575" y="-3848100"/>
              <a:ext cx="4425840" cy="1571200"/>
              <a:chOff x="12192000" y="-2895600"/>
              <a:chExt cx="4425840" cy="1571200"/>
            </a:xfrm>
          </xdr:grpSpPr>
          <xdr:grpSp>
            <xdr:nvGrpSpPr>
              <xdr:cNvPr id="13428" name="Group 13427" hidden="1">
                <a:extLst>
                  <a:ext uri="{FF2B5EF4-FFF2-40B4-BE49-F238E27FC236}">
                    <a16:creationId xmlns:a16="http://schemas.microsoft.com/office/drawing/2014/main" id="{00000000-0008-0000-0100-000074340000}"/>
                  </a:ext>
                </a:extLst>
              </xdr:cNvPr>
              <xdr:cNvGrpSpPr/>
            </xdr:nvGrpSpPr>
            <xdr:grpSpPr>
              <a:xfrm>
                <a:off x="12192000" y="-2895600"/>
                <a:ext cx="4425840" cy="1571200"/>
                <a:chOff x="1207491" y="-12880435"/>
                <a:chExt cx="6449247" cy="2236378"/>
              </a:xfrm>
            </xdr:grpSpPr>
            <xdr:sp macro="" textlink="">
              <xdr:nvSpPr>
                <xdr:cNvPr id="13430" name="Flowchart: Off-page Connector 13429" hidden="1">
                  <a:extLst>
                    <a:ext uri="{FF2B5EF4-FFF2-40B4-BE49-F238E27FC236}">
                      <a16:creationId xmlns:a16="http://schemas.microsoft.com/office/drawing/2014/main" id="{00000000-0008-0000-0100-000076340000}"/>
                    </a:ext>
                  </a:extLst>
                </xdr:cNvPr>
                <xdr:cNvSpPr/>
              </xdr:nvSpPr>
              <xdr:spPr>
                <a:xfrm>
                  <a:off x="1207491" y="-12556588"/>
                  <a:ext cx="1390650" cy="1912531"/>
                </a:xfrm>
                <a:prstGeom prst="flowChartOffpageConnector">
                  <a:avLst/>
                </a:prstGeom>
                <a:solidFill>
                  <a:srgbClr val="7030A0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>
                    <a:solidFill>
                      <a:srgbClr val="7030A0"/>
                    </a:solidFill>
                  </a:endParaRPr>
                </a:p>
              </xdr:txBody>
            </xdr:sp>
            <xdr:sp macro="" textlink="">
              <xdr:nvSpPr>
                <xdr:cNvPr id="13431" name="Flowchart: Off-page Connector 13430" hidden="1">
                  <a:extLst>
                    <a:ext uri="{FF2B5EF4-FFF2-40B4-BE49-F238E27FC236}">
                      <a16:creationId xmlns:a16="http://schemas.microsoft.com/office/drawing/2014/main" id="{00000000-0008-0000-0100-000077340000}"/>
                    </a:ext>
                  </a:extLst>
                </xdr:cNvPr>
                <xdr:cNvSpPr/>
              </xdr:nvSpPr>
              <xdr:spPr>
                <a:xfrm>
                  <a:off x="1207491" y="-12870908"/>
                  <a:ext cx="1390648" cy="1533526"/>
                </a:xfrm>
                <a:prstGeom prst="flowChartOffpageConnector">
                  <a:avLst/>
                </a:prstGeom>
                <a:solidFill>
                  <a:schemeClr val="bg1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3432" name="Flowchart: Off-page Connector 13431" hidden="1">
                  <a:extLst>
                    <a:ext uri="{FF2B5EF4-FFF2-40B4-BE49-F238E27FC236}">
                      <a16:creationId xmlns:a16="http://schemas.microsoft.com/office/drawing/2014/main" id="{00000000-0008-0000-0100-000078340000}"/>
                    </a:ext>
                  </a:extLst>
                </xdr:cNvPr>
                <xdr:cNvSpPr/>
              </xdr:nvSpPr>
              <xdr:spPr>
                <a:xfrm rot="16200000">
                  <a:off x="4339656" y="-14340141"/>
                  <a:ext cx="1562097" cy="5072066"/>
                </a:xfrm>
                <a:prstGeom prst="flowChartOffpageConnector">
                  <a:avLst/>
                </a:prstGeom>
                <a:solidFill>
                  <a:srgbClr val="7030A0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13433" name="Flowchart: Off-page Connector 13432" hidden="1">
                  <a:extLst>
                    <a:ext uri="{FF2B5EF4-FFF2-40B4-BE49-F238E27FC236}">
                      <a16:creationId xmlns:a16="http://schemas.microsoft.com/office/drawing/2014/main" id="{00000000-0008-0000-0100-000079340000}"/>
                    </a:ext>
                  </a:extLst>
                </xdr:cNvPr>
                <xdr:cNvSpPr/>
              </xdr:nvSpPr>
              <xdr:spPr>
                <a:xfrm rot="16200000">
                  <a:off x="4493619" y="-14790198"/>
                  <a:ext cx="1252539" cy="5072066"/>
                </a:xfrm>
                <a:prstGeom prst="flowChartOffpageConnector">
                  <a:avLst/>
                </a:prstGeom>
                <a:solidFill>
                  <a:schemeClr val="bg1"/>
                </a:solidFill>
                <a:ln>
                  <a:solidFill>
                    <a:schemeClr val="lt1">
                      <a:shade val="50000"/>
                    </a:schemeClr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WorkSheet!K6">
              <xdr:nvSpPr>
                <xdr:cNvPr id="13434" name="TextBox 13433" hidden="1">
                  <a:extLst>
                    <a:ext uri="{FF2B5EF4-FFF2-40B4-BE49-F238E27FC236}">
                      <a16:creationId xmlns:a16="http://schemas.microsoft.com/office/drawing/2014/main" id="{00000000-0008-0000-0100-00007A340000}"/>
                    </a:ext>
                  </a:extLst>
                </xdr:cNvPr>
                <xdr:cNvSpPr txBox="1"/>
              </xdr:nvSpPr>
              <xdr:spPr>
                <a:xfrm>
                  <a:off x="2845793" y="-12594682"/>
                  <a:ext cx="3800475" cy="800102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6CEBCF67-FB00-4334-B322-E82E405ADB11}" type="TxLink">
                    <a:rPr lang="en-US" sz="4000" b="0" i="0" u="none" strike="noStrike">
                      <a:solidFill>
                        <a:srgbClr val="000000"/>
                      </a:solidFill>
                      <a:latin typeface="Calibri"/>
                      <a:cs typeface="Calibri"/>
                    </a:rPr>
                    <a:pPr algn="ctr"/>
                    <a:t>83%</a:t>
                  </a:fld>
                  <a:endParaRPr lang="en-US" sz="4000"/>
                </a:p>
              </xdr:txBody>
            </xdr:sp>
          </xdr:grpSp>
          <xdr:sp macro="" textlink="WorkSheet!O6">
            <xdr:nvSpPr>
              <xdr:cNvPr id="13437" name="TextBox 13436" hidden="1">
                <a:extLst>
                  <a:ext uri="{FF2B5EF4-FFF2-40B4-BE49-F238E27FC236}">
                    <a16:creationId xmlns:a16="http://schemas.microsoft.com/office/drawing/2014/main" id="{00000000-0008-0000-0100-00007D340000}"/>
                  </a:ext>
                </a:extLst>
              </xdr:cNvPr>
              <xdr:cNvSpPr txBox="1"/>
            </xdr:nvSpPr>
            <xdr:spPr>
              <a:xfrm>
                <a:off x="13163550" y="-2095500"/>
                <a:ext cx="2608103" cy="56212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2400" b="0" i="0" u="none" strike="noStrike">
                    <a:solidFill>
                      <a:schemeClr val="bg1"/>
                    </a:solidFill>
                    <a:latin typeface="+mn-lt"/>
                    <a:cs typeface="Calibri"/>
                  </a:rPr>
                  <a:t>WFH % in 2020</a:t>
                </a:r>
                <a:endParaRPr lang="en-US" sz="2400">
                  <a:solidFill>
                    <a:schemeClr val="bg1"/>
                  </a:solidFill>
                </a:endParaRPr>
              </a:p>
            </xdr:txBody>
          </xdr:sp>
        </xdr:grpSp>
        <xdr:pic>
          <xdr:nvPicPr>
            <xdr:cNvPr id="43" name="Graphic 42" descr="Pie chart with solid fill" hidden="1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9"/>
                </a:ext>
              </a:extLst>
            </a:blip>
            <a:stretch>
              <a:fillRect/>
            </a:stretch>
          </xdr:blipFill>
          <xdr:spPr>
            <a:xfrm>
              <a:off x="12277725" y="-3671926"/>
              <a:ext cx="771525" cy="771525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333376</xdr:colOff>
      <xdr:row>3</xdr:row>
      <xdr:rowOff>1</xdr:rowOff>
    </xdr:from>
    <xdr:to>
      <xdr:col>15</xdr:col>
      <xdr:colOff>304800</xdr:colOff>
      <xdr:row>25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2</xdr:row>
      <xdr:rowOff>161925</xdr:rowOff>
    </xdr:from>
    <xdr:to>
      <xdr:col>55</xdr:col>
      <xdr:colOff>123825</xdr:colOff>
      <xdr:row>23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sip Ahmet" refreshedDate="45425.833396064816" createdVersion="8" refreshedVersion="8" minRefreshableVersion="3" recordCount="513" xr:uid="{56487EF5-F152-4764-A386-87BBF68FF6F8}">
  <cacheSource type="worksheet">
    <worksheetSource name="datatable"/>
  </cacheSource>
  <cacheFields count="12">
    <cacheField name="Employee ID" numFmtId="0">
      <sharedItems containsSemiMixedTypes="0" containsString="0" containsNumber="1" containsInteger="1" minValue="1" maxValue="1350"/>
    </cacheField>
    <cacheField name="Name " numFmtId="0">
      <sharedItems containsBlank="1" count="398">
        <s v="John Smith"/>
        <s v="Emma Johnson"/>
        <s v="Alexander Müller"/>
        <s v="Ayşe Yılmaz"/>
        <s v="Svetlana Ivanova"/>
        <s v="David Schmidt"/>
        <s v="Fatma Öztürk"/>
        <s v="Maxim Petrov"/>
        <s v="Laura García"/>
        <s v="Ali Kaya"/>
        <s v="Anna Schmidt"/>
        <s v="Mehmet Demir"/>
        <s v="Olga Volkova"/>
        <s v="Michael Weber"/>
        <s v="Aysel Çelik"/>
        <s v="Nikolai Ivanov"/>
        <s v="Sophie Fischer"/>
        <s v="İbrahim Yıldız"/>
        <s v="Elena Kovalenko"/>
        <s v="Julia Wagner"/>
        <s v="Cem Özdemir"/>
        <s v="Maria Santos"/>
        <s v="Ahmet Arslan"/>
        <s v="Vladimir Popov"/>
        <s v="Andrea Rossi"/>
        <s v="Deniz Can"/>
        <s v="Larissa Smirnova"/>
        <s v="Thomas Wagner"/>
        <s v="Hüseyin Aydın"/>
        <s v="Anna Novikova"/>
        <s v="Paul Müller"/>
        <s v="Ebru Demir"/>
        <s v="Igor Sokolov"/>
        <s v="Lisa Müller"/>
        <s v="Murat Kaya"/>
        <s v="Anastasia Ivanova"/>
        <s v="Marko Fischer"/>
        <s v="Elif Yılmaz"/>
        <s v="Dmitri Ivanov"/>
        <s v="Elena Schmidt"/>
        <s v="Mustafa Öztürk"/>
        <s v="Nina Petrova"/>
        <s v="Jens Müller"/>
        <s v="Zeynep Kaya"/>
        <s v="Andrey Petrov"/>
        <s v="Klara Schneider"/>
        <s v="Eren Yıldırım"/>
        <s v="Ksenia Ivanova"/>
        <s v="Marco Ferrari"/>
        <s v="Aylin Yılmaz"/>
        <s v="Pavel Smirnov"/>
        <s v="Sofia Santos"/>
        <s v="Matthias Schmidt"/>
        <s v="Melis Avcı"/>
        <s v="Sergei Ivanov"/>
        <s v="Carla Costa"/>
        <s v="Emre Özkan"/>
        <s v="Natalia Kuznetsova"/>
        <s v="Timur Müller"/>
        <s v="Ayşe Yıldırım"/>
        <s v="Valeria Popova"/>
        <s v="Peter Fischer"/>
        <s v="Sevgi Aksoy"/>
        <s v="Denisov Petrov"/>
        <s v="Catherine Martin"/>
        <s v="Uğur Yılmaz"/>
        <s v="Irina Petrova"/>
        <s v="Luis Silva"/>
        <s v="Levent Eren"/>
        <s v="Irina Svetlova"/>
        <s v="Ahmet Yılmaz"/>
        <s v="Marina Ivanova"/>
        <s v="Simon Fischer"/>
        <s v="Ece Demir"/>
        <s v="Dmitriy Smirnov"/>
        <s v="Sophia Müller"/>
        <s v="Mehmet Öztürk"/>
        <s v="Yelena Petrova"/>
        <s v="Martin Schmidt"/>
        <s v="Elif Kaya"/>
        <s v="Anton Volkov"/>
        <s v="Sarah Johnson"/>
        <s v="Viktor Petrov"/>
        <s v="Christina Müller"/>
        <s v="Tarık Yılmaz"/>
        <s v="Anna Smirnova"/>
        <s v="Christian Fischer"/>
        <s v="Melike Yıldız"/>
        <s v="Andrei Petrov"/>
        <s v="Lara Schmidt"/>
        <s v="İsmail Çelik"/>
        <s v="Natalya Ivanova"/>
        <s v="Daniel Schmidt"/>
        <s v="Yasemin Yılmaz"/>
        <s v="Andreas Müller"/>
        <s v="Irina Kuznetsova"/>
        <s v="Sebastian Fischer"/>
        <s v="Ceren Kaya"/>
        <s v="Alexey Ivanov"/>
        <s v="Emily Johnson"/>
        <s v="Vladislav Petrov"/>
        <s v="Lena Schneider"/>
        <s v="Ali Yılmaz"/>
        <s v="Alina Ivanova"/>
        <s v="Dominik Müller"/>
        <s v="Ceyda Yıldız"/>
        <s v="Deniz Aydın"/>
        <s v="Tatiana Kuznetsova"/>
        <s v="Eren Schmidt"/>
        <s v="Alicia García"/>
        <s v="Umut Yılmaz"/>
        <s v="Anastasia Petrova"/>
        <s v="David Weber"/>
        <s v="İlayda Yıldız"/>
        <s v="Igor Smirnov"/>
        <s v="Melisa Yılmaz"/>
        <s v="Antonov Petrov"/>
        <s v="Alexandra Müller"/>
        <s v="Murat Yıldız"/>
        <s v="Elena Smirnova"/>
        <s v="Andreas Fischer"/>
        <s v="Emine Yılmaz"/>
        <s v="Nikolai Volkov"/>
        <s v="Sophia Schmidt"/>
        <s v="Tolga Yılmaz"/>
        <s v="Anastasiya Ivanova"/>
        <s v="Mert Yılmaz"/>
        <s v="Alisa Ivanova"/>
        <s v="Felix Fischer"/>
        <s v="Esra Yılmaz"/>
        <s v="Maximilian Fischer"/>
        <s v="Alessandro Romano"/>
        <s v="Fırat Alkan"/>
        <s v="Carolina Costa"/>
        <s v="Daniel Müller"/>
        <s v="Sibel Yıldırım"/>
        <s v="Matteo Ferrari"/>
        <s v="Rüstem Arslan"/>
        <s v="Monika Schmidt"/>
        <s v="Cemre Kaya"/>
        <s v="Lukas Wagner"/>
        <s v="Sedef Yılmaz"/>
        <s v="Marco Costa"/>
        <s v="Yasemin Yıldız"/>
        <s v="Giovanni Rossi"/>
        <s v="Emre Yıldırım"/>
        <s v="Lara Weber"/>
        <s v="Vladislav Volkov"/>
        <s v="Özlem Yılmaz"/>
        <s v="Filippo Esposito"/>
        <s v="Beyza Demir"/>
        <s v="Alberto Conti"/>
        <s v="Ayşenur Aksoy"/>
        <s v="Giacomo Russo"/>
        <s v="Murat Yılmaz"/>
        <s v="Chiara Bianchi"/>
        <s v="Özgür Yıldırım"/>
        <s v="Antonio Ferreira"/>
        <s v="Nazlı Yıldız"/>
        <s v="Martina Rossi"/>
        <s v="Barış Yılmaz"/>
        <s v="Davide Martini"/>
        <s v="Derya Çelik"/>
        <s v="Fabrizio Moretti"/>
        <s v="Büşra Avcı"/>
        <s v="Alessia Ricci"/>
        <s v="Koray Aydın"/>
        <s v="Sara Mancini"/>
        <s v="Vincenzo Costa"/>
        <s v="Cansu Yılmaz"/>
        <s v="Mirko Novak"/>
        <s v="Aybike Yıldırım"/>
        <s v="Marta Kovač"/>
        <s v="Nur Yılmaz"/>
        <s v="Gianluca Vitale"/>
        <s v="Claudio De Luca"/>
        <s v="Fatih Kılıç"/>
        <s v="Francesca Rizzo"/>
        <s v="Erdem Yılmaz"/>
        <s v="Daniele Barbieri"/>
        <s v="Ayça Şahin"/>
        <s v="Silvia Colombo"/>
        <s v="Orhan Yılmaz"/>
        <s v="Riccardo Rinaldi"/>
        <s v="Cansu Kaya"/>
        <s v="Leonardo Gruber"/>
        <s v="Nurşen Kılıç"/>
        <s v="Gabriele Koch"/>
        <s v="Selin Yıldız"/>
        <s v="Giulia D'Amico"/>
        <s v="Serkan Aydın"/>
        <s v="Federico Bianchi"/>
        <s v="Yağmur Yıldırım"/>
        <s v="Alessandro Ferrari"/>
        <s v="Esra Yıldız"/>
        <s v="Vincenzo Rizzo"/>
        <s v="Ceyda Aydın"/>
        <s v="Giovanna Marini"/>
        <s v="Okan Yılmaz"/>
        <s v="Alessia Cetin"/>
        <s v="Can Yıldız"/>
        <s v="Martina Krüger"/>
        <s v="Sezgin Yıldırım"/>
        <s v="Giovanni Bernardi"/>
        <s v="Ela Yılmaz"/>
        <s v="Domenico Giuliani"/>
        <s v="Marta Novak"/>
        <s v="Tuğba Yılmaz"/>
        <s v="Paolo Caruso"/>
        <s v="Nazlı Yılmaz"/>
        <s v="Luca Ricci"/>
        <s v="Deniz Kılıç"/>
        <s v="Giulia Moretti"/>
        <s v="Mert Aydın"/>
        <s v="Cristian Müller"/>
        <s v="Yeliz Yılmaz"/>
        <s v="Gianluca Coppola"/>
        <s v="Sevil Yılmaz"/>
        <s v="Giorgio Marini"/>
        <s v="Ece Yıldırım"/>
        <s v="Nicola Colombo"/>
        <s v="Merve Yılmaz"/>
        <s v="Riccardo Marchetti"/>
        <s v="Selin Aydın"/>
        <s v="Francesca Neri"/>
        <s v="Deniz Yıldız"/>
        <s v="Roberto Ferreira"/>
        <s v="Yasemin Kaya"/>
        <s v="Emanuele Costa"/>
        <s v="Özlem Yıldırım"/>
        <s v="Lorenzo Pinto"/>
        <s v="Elif Yıldız"/>
        <s v="Federica De Luca"/>
        <s v="Gözde Yılmaz"/>
        <s v="Andrea Sánchez"/>
        <s v="Aylin Yıldırım"/>
        <s v="Nuray Yılmaz"/>
        <s v="Giovanni Russo"/>
        <s v="Carlo Bernardi"/>
        <s v="İpek Kaya"/>
        <s v="Alberto Bianchi"/>
        <s v="Cemre Yılmaz"/>
        <s v="Nadia Petrović"/>
        <s v="Kemal Aydın"/>
        <s v="Greta Rossi"/>
        <s v="Selin Yıldırım"/>
        <s v="Giacomo Ferrari"/>
        <s v="Antonio Bernardi"/>
        <s v="Rabia Yılmaz"/>
        <s v="Lorenzo Conte"/>
        <s v="Ebru Yılmaz"/>
        <s v="Federico Lombardi"/>
        <s v="Ezgi Yıldırım"/>
        <s v="Cristina Carvalho"/>
        <s v="Kemal Yıldırım"/>
        <s v="Elena Rossi"/>
        <s v="Süleyman Kılıç"/>
        <s v="Alper Aydın"/>
        <s v="Nuria García"/>
        <s v="Alessandro Marchetti"/>
        <s v="Tommaso Esposito"/>
        <s v="Yeliz Yıldız"/>
        <s v="Giovanni Barbieri"/>
        <s v="Meryem Kaya"/>
        <s v="Stefano Sartori"/>
        <s v="Giorgia Fiore"/>
        <s v="Oğuz Aydın"/>
        <s v="Francesco Conte"/>
        <s v="Alessio De Luca"/>
        <s v="Nur Yıldız"/>
        <s v="Simone Bianchi"/>
        <s v="Nicola Ricci"/>
        <s v="Dilara Kaya"/>
        <s v="Alessandro Costa"/>
        <s v="Cristian Martin"/>
        <s v="Ezgi Yılmaz"/>
        <s v="Emanuela Bianchi"/>
        <s v="Federico Pinto"/>
        <s v="Yağmur Yılmaz"/>
        <s v="Giulia Ferreira"/>
        <s v="Ercan Yıldırım"/>
        <s v="Valentina Ferrari"/>
        <s v="Ali Yıldız"/>
        <s v="Lorenzo De Santis"/>
        <s v="Aslı Kaya"/>
        <s v="Vincenzo Ferrari"/>
        <s v="Giuseppe Marino"/>
        <s v="Ela Yıldız"/>
        <s v="Matteo Moretti"/>
        <s v="Seda Yılmaz"/>
        <s v="Simone Lombardi"/>
        <s v="Tuğba Aydın"/>
        <s v="Leonardo Rizzo"/>
        <s v="Özge Yıldırım"/>
        <s v="Valentina Rossi"/>
        <s v="Lorenzo Pellegrini"/>
        <s v="Alessandro Conti"/>
        <s v="Zeynep Yıldırım"/>
        <s v="Federico D'Amico"/>
        <s v="Andrea Rizzo"/>
        <s v="Marco Gruber"/>
        <s v="Gülşah Kaya"/>
        <s v="Gianluca Bernardi"/>
        <s v="Leyla Yılmaz"/>
        <s v="Alessandro Rossi"/>
        <s v="Riccardo Marini"/>
        <s v="Esra Yıldırım"/>
        <s v="Luca Bianchi"/>
        <s v="Esra Kaya"/>
        <s v="Alessandro Ferreira"/>
        <s v="Riccardo Vitale"/>
        <s v="Dilek Yıldırım"/>
        <s v="Francesco Leone"/>
        <s v="Stefano Barbieri"/>
        <s v="Ceren Aydın"/>
        <s v="Valentina Pinto"/>
        <s v="Matteo Esposito"/>
        <s v="Federica Barbieri"/>
        <s v="Ege Yılmaz"/>
        <s v="Alessandro Rizzo"/>
        <s v="Matteo Bianchi"/>
        <s v="Zeynep Yıldız"/>
        <s v="Davide Ferrari"/>
        <s v="Francesco Marchetti"/>
        <s v="Valentina De Luca"/>
        <s v="Riccardo Martini"/>
        <s v="Ezgi Kaya"/>
        <s v="Melis Yılmaz"/>
        <s v="Davide Sartori"/>
        <s v="Nicola Lombardi"/>
        <s v="Ebru Kaya"/>
        <s v="Andrea Conti"/>
        <s v="Nazlı Yıldırım"/>
        <s v="Carlo Coppola"/>
        <s v="Simone Barbieri"/>
        <s v="Antonio Vitale"/>
        <s v="Luca Marini"/>
        <s v="Gizem Yıldırım"/>
        <s v="Giorgio Gruber"/>
        <s v="Ayşe Kaya"/>
        <s v="Emanuele De Santis"/>
        <s v="Marco Sartori"/>
        <s v="Selin Kaya"/>
        <s v="Gabriele Martini"/>
        <s v="Elif Yıldırım"/>
        <s v="Giulia Lombardi"/>
        <s v="Murat Aydın"/>
        <s v="Elena Pinto"/>
        <s v="Mehmet Yıldırım"/>
        <s v="Alberto Ferreira"/>
        <s v="Gözde Yıldız"/>
        <s v="Leonardo Ferrari"/>
        <s v="İrem Kaya"/>
        <s v="Fabio Bernardi"/>
        <s v="Valentina Martini"/>
        <s v="Seda Kaya"/>
        <s v="Giacomo Rizzo"/>
        <s v="Ebru Yıldız"/>
        <s v="Nicola Barbieri"/>
        <s v="Francesca Coppola"/>
        <s v="Emir Aydın"/>
        <s v="Nadia Rossi"/>
        <s v="Ayşegül Yıldırım"/>
        <s v="Carlo Vitale"/>
        <s v="Derya Yıldız"/>
        <s v="Lorenzo Marini"/>
        <s v="Yasemin Yıldırım"/>
        <s v="Giovanni Pinto"/>
        <s v="Berkay Aydın"/>
        <s v="Nicoletta Martini"/>
        <s v="Ege Yıldız"/>
        <s v="Gianluca Ferrari"/>
        <s v="Nihan Yıldırım"/>
        <s v="Giorgio Barbieri"/>
        <s v="Giuseppe Lombardi"/>
        <s v="Selin Yılmaz"/>
        <s v="Alessandro Gruber"/>
        <s v="Ebru Yıldırım"/>
        <s v="Valeria Esposito"/>
        <s v="Özgür Kaya"/>
        <s v="Aslı Yılmaz"/>
        <s v="Giovanni Ferreira"/>
        <s v="Giorgia Bernardi"/>
        <s v="Antonio Esposito"/>
        <s v="Francesco Coppola"/>
        <s v="Aylin Yıldız"/>
        <s v="Marco Marini"/>
        <s v="Deniz Yılmaz"/>
        <s v="Hatice Gürbaşı"/>
        <s v="Nasip Ahmet"/>
        <s v="Miraç Kaya"/>
        <s v="Beyza Akın"/>
        <s v="Alparslan Kaya"/>
        <s v="İzzet Ahmet"/>
        <s v="Çınar Kaya"/>
        <s v="Enes Akın"/>
        <s v="Özcan Kütür"/>
        <m u="1"/>
      </sharedItems>
    </cacheField>
    <cacheField name="State" numFmtId="0">
      <sharedItems containsBlank="1" count="51">
        <s v="Alabama"/>
        <s v="Alaska"/>
        <s v="Arizona"/>
        <s v="Arkansas"/>
        <s v="California"/>
        <s v="Colorado"/>
        <s v="Connecticut"/>
        <s v="Delaware"/>
        <s v="Florida"/>
        <s v="Georgia"/>
        <s v="Hawaii"/>
        <s v="Idaho"/>
        <s v="Illinois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Montana"/>
        <s v="Nebraska"/>
        <s v="Nevada"/>
        <s v="New Hampshire"/>
        <s v="New Jersey"/>
        <s v="New Mexico"/>
        <s v="New York"/>
        <s v="North Carolina"/>
        <s v="North Dakota"/>
        <s v="Ohio"/>
        <s v="Oklahoma"/>
        <s v="Oregon"/>
        <s v="Pennsylvania"/>
        <s v="Rhode Island"/>
        <s v="South Carolina"/>
        <s v="South Dakota"/>
        <s v="Tennessee"/>
        <s v="Texas"/>
        <s v="Utah"/>
        <s v="Vermont"/>
        <s v="Virginia"/>
        <s v="Washington"/>
        <s v="West Virginia"/>
        <s v="Wisconsin"/>
        <s v="Wyoming"/>
        <m u="1"/>
      </sharedItems>
    </cacheField>
    <cacheField name="Rank" numFmtId="0">
      <sharedItems containsBlank="1" count="9">
        <s v="Senior"/>
        <s v="Senior Manager"/>
        <s v="Principal"/>
        <s v="Director"/>
        <s v="Junior"/>
        <s v="Manager"/>
        <s v="VP"/>
        <s v="CEO"/>
        <m u="1"/>
      </sharedItems>
    </cacheField>
    <cacheField name="Department" numFmtId="0">
      <sharedItems containsBlank="1" count="10">
        <s v="Sales &amp; Marketing"/>
        <s v="Research &amp; Development"/>
        <s v="QA"/>
        <s v="Manufacturing"/>
        <s v="Finance"/>
        <s v="HR"/>
        <s v="IT"/>
        <s v="Legal"/>
        <s v="CEO"/>
        <m u="1"/>
      </sharedItems>
    </cacheField>
    <cacheField name="WFH % in 2020" numFmtId="9">
      <sharedItems containsSemiMixedTypes="0" containsString="0" containsNumber="1" minValue="0" maxValue="1"/>
    </cacheField>
    <cacheField name="Number of kids" numFmtId="0">
      <sharedItems containsSemiMixedTypes="0" containsString="0" containsNumber="1" containsInteger="1" minValue="0" maxValue="5" count="6">
        <n v="0"/>
        <n v="3"/>
        <n v="1"/>
        <n v="2"/>
        <n v="4"/>
        <n v="5"/>
      </sharedItems>
    </cacheField>
    <cacheField name="Salary $ (Yearly)" numFmtId="164">
      <sharedItems containsSemiMixedTypes="0" containsString="0" containsNumber="1" containsInteger="1" minValue="60578" maxValue="350000"/>
    </cacheField>
    <cacheField name="Received Bonus in 2020?" numFmtId="0">
      <sharedItems/>
    </cacheField>
    <cacheField name="Satisfied from job" numFmtId="0">
      <sharedItems/>
    </cacheField>
    <cacheField name="Employment Start Date" numFmtId="14">
      <sharedItems containsSemiMixedTypes="0" containsNonDate="0" containsDate="1" containsString="0" minDate="2017-04-19T00:00:00" maxDate="2020-12-25T00:00:00"/>
    </cacheField>
    <cacheField name="Years in Company" numFmtId="1">
      <sharedItems containsSemiMixedTypes="0" containsString="0" containsNumber="1" minValue="3.3861111111111111" maxValue="7.0666666666666664"/>
    </cacheField>
  </cacheFields>
  <extLst>
    <ext xmlns:x14="http://schemas.microsoft.com/office/spreadsheetml/2009/9/main" uri="{725AE2AE-9491-48be-B2B4-4EB974FC3084}">
      <x14:pivotCacheDefinition pivotCacheId="69346468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3">
  <r>
    <n v="1"/>
    <x v="0"/>
    <x v="0"/>
    <x v="0"/>
    <x v="0"/>
    <n v="0.37"/>
    <x v="0"/>
    <n v="141193"/>
    <s v="Yes"/>
    <s v="No"/>
    <d v="2020-02-18T00:00:00"/>
    <n v="4.2361111111111107"/>
  </r>
  <r>
    <n v="2"/>
    <x v="1"/>
    <x v="1"/>
    <x v="1"/>
    <x v="1"/>
    <n v="0.52"/>
    <x v="1"/>
    <n v="236495"/>
    <s v="No"/>
    <s v="No"/>
    <d v="2019-04-28T00:00:00"/>
    <n v="5.041666666666667"/>
  </r>
  <r>
    <n v="3"/>
    <x v="2"/>
    <x v="2"/>
    <x v="2"/>
    <x v="0"/>
    <n v="0.5"/>
    <x v="1"/>
    <n v="253259"/>
    <s v="No"/>
    <s v="Yes"/>
    <d v="2019-03-27T00:00:00"/>
    <n v="5.1277777777777782"/>
  </r>
  <r>
    <n v="4"/>
    <x v="3"/>
    <x v="3"/>
    <x v="3"/>
    <x v="2"/>
    <n v="0.83"/>
    <x v="2"/>
    <n v="287793"/>
    <s v="Yes"/>
    <s v="Yes"/>
    <d v="2017-06-01T00:00:00"/>
    <n v="6.95"/>
  </r>
  <r>
    <n v="5"/>
    <x v="4"/>
    <x v="4"/>
    <x v="0"/>
    <x v="3"/>
    <n v="0"/>
    <x v="3"/>
    <n v="108008"/>
    <s v="No"/>
    <s v="No"/>
    <d v="2020-04-29T00:00:00"/>
    <n v="4.0388888888888888"/>
  </r>
  <r>
    <n v="6"/>
    <x v="5"/>
    <x v="5"/>
    <x v="4"/>
    <x v="4"/>
    <n v="0.48"/>
    <x v="4"/>
    <n v="60578"/>
    <s v="No"/>
    <s v="Yes"/>
    <d v="2019-12-08T00:00:00"/>
    <n v="4.4305555555555554"/>
  </r>
  <r>
    <n v="7"/>
    <x v="6"/>
    <x v="6"/>
    <x v="3"/>
    <x v="4"/>
    <n v="0.88"/>
    <x v="2"/>
    <n v="286794"/>
    <s v="Yes"/>
    <s v="No"/>
    <d v="2019-07-01T00:00:00"/>
    <n v="4.8666666666666663"/>
  </r>
  <r>
    <n v="8"/>
    <x v="7"/>
    <x v="7"/>
    <x v="1"/>
    <x v="5"/>
    <n v="0.54"/>
    <x v="3"/>
    <n v="234369"/>
    <s v="No"/>
    <s v="No"/>
    <d v="2020-01-03T00:00:00"/>
    <n v="4.3611111111111107"/>
  </r>
  <r>
    <n v="9"/>
    <x v="8"/>
    <x v="8"/>
    <x v="4"/>
    <x v="4"/>
    <n v="0.63"/>
    <x v="1"/>
    <n v="83474"/>
    <s v="No"/>
    <s v="No"/>
    <d v="2019-07-14T00:00:00"/>
    <n v="4.8305555555555557"/>
  </r>
  <r>
    <n v="10"/>
    <x v="9"/>
    <x v="9"/>
    <x v="1"/>
    <x v="6"/>
    <n v="0.98"/>
    <x v="1"/>
    <n v="233661"/>
    <s v="No"/>
    <s v="Yes"/>
    <d v="2017-07-30T00:00:00"/>
    <n v="6.7861111111111114"/>
  </r>
  <r>
    <n v="11"/>
    <x v="10"/>
    <x v="10"/>
    <x v="5"/>
    <x v="1"/>
    <n v="0.98"/>
    <x v="3"/>
    <n v="207309"/>
    <s v="No"/>
    <s v="No"/>
    <d v="2017-06-17T00:00:00"/>
    <n v="6.9055555555555559"/>
  </r>
  <r>
    <n v="12"/>
    <x v="11"/>
    <x v="11"/>
    <x v="0"/>
    <x v="5"/>
    <n v="0.45"/>
    <x v="4"/>
    <n v="114883"/>
    <s v="No"/>
    <s v="Yes"/>
    <d v="2019-12-31T00:00:00"/>
    <n v="4.3694444444444445"/>
  </r>
  <r>
    <n v="13"/>
    <x v="12"/>
    <x v="12"/>
    <x v="0"/>
    <x v="3"/>
    <n v="0"/>
    <x v="0"/>
    <n v="101023"/>
    <s v="No"/>
    <s v="No"/>
    <d v="2019-07-28T00:00:00"/>
    <n v="4.791666666666667"/>
  </r>
  <r>
    <n v="14"/>
    <x v="13"/>
    <x v="13"/>
    <x v="4"/>
    <x v="4"/>
    <n v="0.68"/>
    <x v="1"/>
    <n v="93128"/>
    <s v="No"/>
    <s v="No"/>
    <d v="2019-11-13T00:00:00"/>
    <n v="4.5"/>
  </r>
  <r>
    <n v="15"/>
    <x v="14"/>
    <x v="14"/>
    <x v="5"/>
    <x v="1"/>
    <n v="0.98"/>
    <x v="2"/>
    <n v="197812"/>
    <s v="No"/>
    <s v="No"/>
    <d v="2018-08-12T00:00:00"/>
    <n v="5.7527777777777782"/>
  </r>
  <r>
    <n v="16"/>
    <x v="15"/>
    <x v="15"/>
    <x v="3"/>
    <x v="5"/>
    <n v="0.2"/>
    <x v="2"/>
    <n v="299936"/>
    <s v="No"/>
    <s v="No"/>
    <d v="2017-08-22T00:00:00"/>
    <n v="6.7249999999999996"/>
  </r>
  <r>
    <n v="17"/>
    <x v="16"/>
    <x v="16"/>
    <x v="2"/>
    <x v="1"/>
    <n v="0.39"/>
    <x v="0"/>
    <n v="271743"/>
    <s v="No"/>
    <s v="Yes"/>
    <d v="2019-04-23T00:00:00"/>
    <n v="5.0555555555555554"/>
  </r>
  <r>
    <n v="18"/>
    <x v="17"/>
    <x v="17"/>
    <x v="5"/>
    <x v="7"/>
    <n v="0.37"/>
    <x v="2"/>
    <n v="204698"/>
    <s v="No"/>
    <s v="No"/>
    <d v="2020-09-03T00:00:00"/>
    <n v="3.6944444444444446"/>
  </r>
  <r>
    <n v="19"/>
    <x v="18"/>
    <x v="18"/>
    <x v="5"/>
    <x v="6"/>
    <n v="0.06"/>
    <x v="0"/>
    <n v="209718"/>
    <s v="No"/>
    <s v="No"/>
    <d v="2020-10-30T00:00:00"/>
    <n v="3.536111111111111"/>
  </r>
  <r>
    <n v="20"/>
    <x v="19"/>
    <x v="19"/>
    <x v="3"/>
    <x v="2"/>
    <n v="0.63"/>
    <x v="1"/>
    <n v="292961"/>
    <s v="Yes"/>
    <s v="Yes"/>
    <d v="2020-04-24T00:00:00"/>
    <n v="4.052777777777778"/>
  </r>
  <r>
    <n v="21"/>
    <x v="20"/>
    <x v="20"/>
    <x v="5"/>
    <x v="3"/>
    <n v="0"/>
    <x v="2"/>
    <n v="205042"/>
    <s v="No"/>
    <s v="No"/>
    <d v="2019-02-07T00:00:00"/>
    <n v="5.2666666666666666"/>
  </r>
  <r>
    <n v="22"/>
    <x v="21"/>
    <x v="21"/>
    <x v="2"/>
    <x v="5"/>
    <n v="0.24"/>
    <x v="2"/>
    <n v="255443"/>
    <s v="Yes"/>
    <s v="No"/>
    <d v="2020-11-13T00:00:00"/>
    <n v="3.5"/>
  </r>
  <r>
    <n v="23"/>
    <x v="22"/>
    <x v="22"/>
    <x v="1"/>
    <x v="0"/>
    <n v="0.56999999999999995"/>
    <x v="4"/>
    <n v="244910"/>
    <s v="No"/>
    <s v="Yes"/>
    <d v="2020-02-05T00:00:00"/>
    <n v="4.2722222222222221"/>
  </r>
  <r>
    <n v="24"/>
    <x v="23"/>
    <x v="23"/>
    <x v="5"/>
    <x v="7"/>
    <n v="0.4"/>
    <x v="1"/>
    <n v="208004"/>
    <s v="No"/>
    <s v="No"/>
    <d v="2019-05-17T00:00:00"/>
    <n v="4.9888888888888889"/>
  </r>
  <r>
    <n v="25"/>
    <x v="24"/>
    <x v="24"/>
    <x v="0"/>
    <x v="1"/>
    <n v="0.41"/>
    <x v="4"/>
    <n v="132906"/>
    <s v="No"/>
    <s v="Yes"/>
    <d v="2018-01-15T00:00:00"/>
    <n v="6.3277777777777775"/>
  </r>
  <r>
    <n v="26"/>
    <x v="25"/>
    <x v="25"/>
    <x v="3"/>
    <x v="4"/>
    <n v="0.36"/>
    <x v="5"/>
    <n v="295104"/>
    <s v="Yes"/>
    <s v="Yes"/>
    <d v="2019-08-16T00:00:00"/>
    <n v="4.7416666666666663"/>
  </r>
  <r>
    <n v="27"/>
    <x v="26"/>
    <x v="26"/>
    <x v="6"/>
    <x v="7"/>
    <n v="0.34"/>
    <x v="5"/>
    <n v="328128"/>
    <s v="Yes"/>
    <s v="Yes"/>
    <d v="2018-03-25T00:00:00"/>
    <n v="6.1333333333333337"/>
  </r>
  <r>
    <n v="28"/>
    <x v="27"/>
    <x v="27"/>
    <x v="4"/>
    <x v="6"/>
    <n v="0.66"/>
    <x v="3"/>
    <n v="88411"/>
    <s v="No"/>
    <s v="No"/>
    <d v="2017-08-23T00:00:00"/>
    <n v="6.7222222222222223"/>
  </r>
  <r>
    <n v="29"/>
    <x v="28"/>
    <x v="28"/>
    <x v="5"/>
    <x v="0"/>
    <n v="0.66"/>
    <x v="1"/>
    <n v="190382"/>
    <s v="No"/>
    <s v="No"/>
    <d v="2020-06-02T00:00:00"/>
    <n v="3.9472222222222224"/>
  </r>
  <r>
    <n v="30"/>
    <x v="29"/>
    <x v="29"/>
    <x v="0"/>
    <x v="3"/>
    <n v="0"/>
    <x v="4"/>
    <n v="139018"/>
    <s v="No"/>
    <s v="Yes"/>
    <d v="2019-03-05T00:00:00"/>
    <n v="5.1888888888888891"/>
  </r>
  <r>
    <n v="31"/>
    <x v="30"/>
    <x v="30"/>
    <x v="5"/>
    <x v="6"/>
    <n v="0.64"/>
    <x v="5"/>
    <n v="195631"/>
    <s v="Yes"/>
    <s v="Yes"/>
    <d v="2018-11-21T00:00:00"/>
    <n v="5.4777777777777779"/>
  </r>
  <r>
    <n v="32"/>
    <x v="31"/>
    <x v="31"/>
    <x v="5"/>
    <x v="6"/>
    <n v="0.73"/>
    <x v="4"/>
    <n v="186853"/>
    <s v="No"/>
    <s v="Yes"/>
    <d v="2017-09-02T00:00:00"/>
    <n v="6.697222222222222"/>
  </r>
  <r>
    <n v="33"/>
    <x v="32"/>
    <x v="32"/>
    <x v="0"/>
    <x v="6"/>
    <n v="0.37"/>
    <x v="1"/>
    <n v="145716"/>
    <s v="No"/>
    <s v="No"/>
    <d v="2018-05-06T00:00:00"/>
    <n v="6.0194444444444448"/>
  </r>
  <r>
    <n v="34"/>
    <x v="33"/>
    <x v="33"/>
    <x v="4"/>
    <x v="6"/>
    <n v="0.55000000000000004"/>
    <x v="3"/>
    <n v="72790"/>
    <s v="No"/>
    <s v="No"/>
    <d v="2018-10-19T00:00:00"/>
    <n v="5.5666666666666664"/>
  </r>
  <r>
    <n v="35"/>
    <x v="34"/>
    <x v="34"/>
    <x v="0"/>
    <x v="3"/>
    <n v="0"/>
    <x v="5"/>
    <n v="107328"/>
    <s v="No"/>
    <s v="No"/>
    <d v="2017-09-18T00:00:00"/>
    <n v="6.6527777777777777"/>
  </r>
  <r>
    <n v="36"/>
    <x v="35"/>
    <x v="35"/>
    <x v="4"/>
    <x v="1"/>
    <n v="0.8"/>
    <x v="2"/>
    <n v="67999"/>
    <s v="No"/>
    <s v="No"/>
    <d v="2018-02-24T00:00:00"/>
    <n v="6.2194444444444441"/>
  </r>
  <r>
    <n v="37"/>
    <x v="36"/>
    <x v="36"/>
    <x v="1"/>
    <x v="1"/>
    <n v="0.46"/>
    <x v="4"/>
    <n v="237686"/>
    <s v="No"/>
    <s v="Yes"/>
    <d v="2019-07-17T00:00:00"/>
    <n v="4.822222222222222"/>
  </r>
  <r>
    <n v="38"/>
    <x v="37"/>
    <x v="37"/>
    <x v="0"/>
    <x v="4"/>
    <n v="0.8"/>
    <x v="5"/>
    <n v="138854"/>
    <s v="No"/>
    <s v="Yes"/>
    <d v="2020-12-20T00:00:00"/>
    <n v="3.3972222222222221"/>
  </r>
  <r>
    <n v="39"/>
    <x v="38"/>
    <x v="38"/>
    <x v="1"/>
    <x v="3"/>
    <n v="0"/>
    <x v="1"/>
    <n v="248585"/>
    <s v="No"/>
    <s v="No"/>
    <d v="2019-10-18T00:00:00"/>
    <n v="4.5694444444444446"/>
  </r>
  <r>
    <n v="40"/>
    <x v="39"/>
    <x v="39"/>
    <x v="3"/>
    <x v="3"/>
    <n v="0"/>
    <x v="3"/>
    <n v="292891"/>
    <s v="Yes"/>
    <s v="Yes"/>
    <d v="2017-07-25T00:00:00"/>
    <n v="6.8"/>
  </r>
  <r>
    <n v="41"/>
    <x v="40"/>
    <x v="40"/>
    <x v="3"/>
    <x v="5"/>
    <n v="0.33"/>
    <x v="0"/>
    <n v="296997"/>
    <s v="Yes"/>
    <s v="Yes"/>
    <d v="2020-08-19T00:00:00"/>
    <n v="3.7333333333333334"/>
  </r>
  <r>
    <n v="42"/>
    <x v="41"/>
    <x v="41"/>
    <x v="4"/>
    <x v="0"/>
    <n v="0.69"/>
    <x v="2"/>
    <n v="71975"/>
    <s v="No"/>
    <s v="No"/>
    <d v="2019-11-25T00:00:00"/>
    <n v="4.4666666666666668"/>
  </r>
  <r>
    <n v="43"/>
    <x v="42"/>
    <x v="42"/>
    <x v="0"/>
    <x v="4"/>
    <n v="0.49"/>
    <x v="1"/>
    <n v="115432"/>
    <s v="No"/>
    <s v="Yes"/>
    <d v="2020-03-30T00:00:00"/>
    <n v="4.1194444444444445"/>
  </r>
  <r>
    <n v="44"/>
    <x v="43"/>
    <x v="43"/>
    <x v="4"/>
    <x v="6"/>
    <n v="0.41"/>
    <x v="0"/>
    <n v="69941"/>
    <s v="No"/>
    <s v="No"/>
    <d v="2017-10-23T00:00:00"/>
    <n v="6.5555555555555554"/>
  </r>
  <r>
    <n v="45"/>
    <x v="44"/>
    <x v="44"/>
    <x v="3"/>
    <x v="1"/>
    <n v="0.79"/>
    <x v="5"/>
    <n v="285584"/>
    <s v="Yes"/>
    <s v="Yes"/>
    <d v="2019-05-29T00:00:00"/>
    <n v="4.9555555555555557"/>
  </r>
  <r>
    <n v="46"/>
    <x v="45"/>
    <x v="45"/>
    <x v="6"/>
    <x v="5"/>
    <n v="0.06"/>
    <x v="5"/>
    <n v="320142"/>
    <s v="Yes"/>
    <s v="No"/>
    <d v="2019-06-13T00:00:00"/>
    <n v="4.916666666666667"/>
  </r>
  <r>
    <n v="47"/>
    <x v="46"/>
    <x v="46"/>
    <x v="0"/>
    <x v="4"/>
    <n v="0.73"/>
    <x v="2"/>
    <n v="118023"/>
    <s v="No"/>
    <s v="Yes"/>
    <d v="2020-07-26T00:00:00"/>
    <n v="3.7972222222222221"/>
  </r>
  <r>
    <n v="48"/>
    <x v="47"/>
    <x v="47"/>
    <x v="0"/>
    <x v="0"/>
    <n v="0.46"/>
    <x v="4"/>
    <n v="126080"/>
    <s v="No"/>
    <s v="Yes"/>
    <d v="2020-10-27T00:00:00"/>
    <n v="3.5444444444444443"/>
  </r>
  <r>
    <n v="49"/>
    <x v="48"/>
    <x v="48"/>
    <x v="5"/>
    <x v="1"/>
    <n v="0.41"/>
    <x v="2"/>
    <n v="186085"/>
    <s v="No"/>
    <s v="No"/>
    <d v="2018-09-04T00:00:00"/>
    <n v="5.6916666666666664"/>
  </r>
  <r>
    <n v="50"/>
    <x v="49"/>
    <x v="49"/>
    <x v="4"/>
    <x v="3"/>
    <n v="0"/>
    <x v="4"/>
    <n v="75321"/>
    <s v="No"/>
    <s v="No"/>
    <d v="2019-08-11T00:00:00"/>
    <n v="4.7555555555555555"/>
  </r>
  <r>
    <n v="51"/>
    <x v="50"/>
    <x v="46"/>
    <x v="2"/>
    <x v="7"/>
    <n v="0.38"/>
    <x v="2"/>
    <n v="265207"/>
    <s v="No"/>
    <s v="Yes"/>
    <d v="2019-07-27T00:00:00"/>
    <n v="4.7944444444444443"/>
  </r>
  <r>
    <n v="52"/>
    <x v="51"/>
    <x v="33"/>
    <x v="4"/>
    <x v="1"/>
    <n v="0.77"/>
    <x v="3"/>
    <n v="66806"/>
    <s v="No"/>
    <s v="Yes"/>
    <d v="2017-07-15T00:00:00"/>
    <n v="6.8277777777777775"/>
  </r>
  <r>
    <n v="53"/>
    <x v="52"/>
    <x v="10"/>
    <x v="0"/>
    <x v="4"/>
    <n v="0.31"/>
    <x v="2"/>
    <n v="110091"/>
    <s v="No"/>
    <s v="Yes"/>
    <d v="2020-10-09T00:00:00"/>
    <n v="3.5944444444444446"/>
  </r>
  <r>
    <n v="54"/>
    <x v="53"/>
    <x v="12"/>
    <x v="3"/>
    <x v="1"/>
    <n v="0.28999999999999998"/>
    <x v="0"/>
    <n v="282839"/>
    <s v="Yes"/>
    <s v="No"/>
    <d v="2020-04-13T00:00:00"/>
    <n v="4.083333333333333"/>
  </r>
  <r>
    <n v="55"/>
    <x v="54"/>
    <x v="22"/>
    <x v="2"/>
    <x v="7"/>
    <n v="0.67"/>
    <x v="3"/>
    <n v="251895"/>
    <s v="No"/>
    <s v="Yes"/>
    <d v="2020-12-10T00:00:00"/>
    <n v="3.4249999999999998"/>
  </r>
  <r>
    <n v="56"/>
    <x v="55"/>
    <x v="40"/>
    <x v="2"/>
    <x v="7"/>
    <n v="0.42"/>
    <x v="1"/>
    <n v="254815"/>
    <s v="No"/>
    <s v="Yes"/>
    <d v="2020-10-30T00:00:00"/>
    <n v="3.536111111111111"/>
  </r>
  <r>
    <n v="57"/>
    <x v="56"/>
    <x v="13"/>
    <x v="4"/>
    <x v="6"/>
    <n v="0.37"/>
    <x v="1"/>
    <n v="72267"/>
    <s v="No"/>
    <s v="No"/>
    <d v="2019-04-02T00:00:00"/>
    <n v="5.1138888888888889"/>
  </r>
  <r>
    <n v="58"/>
    <x v="57"/>
    <x v="30"/>
    <x v="1"/>
    <x v="2"/>
    <n v="0.43"/>
    <x v="5"/>
    <n v="232760"/>
    <s v="No"/>
    <s v="Yes"/>
    <d v="2017-04-19T00:00:00"/>
    <n v="7.0666666666666664"/>
  </r>
  <r>
    <n v="59"/>
    <x v="58"/>
    <x v="26"/>
    <x v="5"/>
    <x v="7"/>
    <n v="0.81"/>
    <x v="2"/>
    <n v="192600"/>
    <s v="No"/>
    <s v="No"/>
    <d v="2019-01-29T00:00:00"/>
    <n v="5.2888888888888888"/>
  </r>
  <r>
    <n v="60"/>
    <x v="59"/>
    <x v="28"/>
    <x v="0"/>
    <x v="7"/>
    <n v="0.36"/>
    <x v="3"/>
    <n v="139901"/>
    <s v="No"/>
    <s v="No"/>
    <d v="2018-05-28T00:00:00"/>
    <n v="5.958333333333333"/>
  </r>
  <r>
    <n v="61"/>
    <x v="60"/>
    <x v="21"/>
    <x v="3"/>
    <x v="6"/>
    <n v="0.57999999999999996"/>
    <x v="2"/>
    <n v="293469"/>
    <s v="Yes"/>
    <s v="No"/>
    <d v="2018-09-22T00:00:00"/>
    <n v="5.6416666666666666"/>
  </r>
  <r>
    <n v="62"/>
    <x v="61"/>
    <x v="42"/>
    <x v="3"/>
    <x v="5"/>
    <n v="0.34"/>
    <x v="4"/>
    <n v="281422"/>
    <s v="No"/>
    <s v="Yes"/>
    <d v="2020-11-19T00:00:00"/>
    <n v="3.4833333333333334"/>
  </r>
  <r>
    <n v="63"/>
    <x v="62"/>
    <x v="9"/>
    <x v="5"/>
    <x v="0"/>
    <n v="0.63"/>
    <x v="3"/>
    <n v="201734"/>
    <s v="No"/>
    <s v="No"/>
    <d v="2017-09-23T00:00:00"/>
    <n v="6.6388888888888893"/>
  </r>
  <r>
    <n v="64"/>
    <x v="63"/>
    <x v="48"/>
    <x v="5"/>
    <x v="4"/>
    <n v="0.89"/>
    <x v="0"/>
    <n v="201737"/>
    <s v="No"/>
    <s v="Yes"/>
    <d v="2018-03-17T00:00:00"/>
    <n v="6.1555555555555559"/>
  </r>
  <r>
    <n v="65"/>
    <x v="64"/>
    <x v="15"/>
    <x v="5"/>
    <x v="3"/>
    <n v="0"/>
    <x v="0"/>
    <n v="180506"/>
    <s v="No"/>
    <s v="No"/>
    <d v="2018-05-24T00:00:00"/>
    <n v="5.9694444444444441"/>
  </r>
  <r>
    <n v="66"/>
    <x v="65"/>
    <x v="4"/>
    <x v="1"/>
    <x v="0"/>
    <n v="0.02"/>
    <x v="0"/>
    <n v="248144"/>
    <s v="No"/>
    <s v="No"/>
    <d v="2017-05-24T00:00:00"/>
    <n v="6.9694444444444441"/>
  </r>
  <r>
    <n v="67"/>
    <x v="66"/>
    <x v="36"/>
    <x v="1"/>
    <x v="7"/>
    <n v="0.77"/>
    <x v="1"/>
    <n v="238338"/>
    <s v="Yes"/>
    <s v="Yes"/>
    <d v="2020-07-06T00:00:00"/>
    <n v="3.8527777777777779"/>
  </r>
  <r>
    <n v="68"/>
    <x v="67"/>
    <x v="27"/>
    <x v="3"/>
    <x v="1"/>
    <n v="0.3"/>
    <x v="2"/>
    <n v="298152"/>
    <s v="No"/>
    <s v="No"/>
    <d v="2019-03-05T00:00:00"/>
    <n v="5.1888888888888891"/>
  </r>
  <r>
    <n v="69"/>
    <x v="68"/>
    <x v="34"/>
    <x v="3"/>
    <x v="1"/>
    <n v="0.51"/>
    <x v="4"/>
    <n v="280162"/>
    <s v="Yes"/>
    <s v="Yes"/>
    <d v="2019-02-18T00:00:00"/>
    <n v="5.2361111111111107"/>
  </r>
  <r>
    <n v="70"/>
    <x v="69"/>
    <x v="6"/>
    <x v="4"/>
    <x v="2"/>
    <n v="0.21"/>
    <x v="1"/>
    <n v="75325"/>
    <s v="No"/>
    <s v="No"/>
    <d v="2018-12-27T00:00:00"/>
    <n v="5.3777777777777782"/>
  </r>
  <r>
    <n v="71"/>
    <x v="70"/>
    <x v="2"/>
    <x v="6"/>
    <x v="1"/>
    <n v="0.51"/>
    <x v="5"/>
    <n v="315486"/>
    <s v="Yes"/>
    <s v="Yes"/>
    <d v="2018-03-06T00:00:00"/>
    <n v="6.1861111111111109"/>
  </r>
  <r>
    <n v="72"/>
    <x v="71"/>
    <x v="19"/>
    <x v="2"/>
    <x v="5"/>
    <n v="7.0000000000000007E-2"/>
    <x v="1"/>
    <n v="263257"/>
    <s v="No"/>
    <s v="No"/>
    <d v="2019-06-27T00:00:00"/>
    <n v="4.8777777777777782"/>
  </r>
  <r>
    <n v="73"/>
    <x v="72"/>
    <x v="17"/>
    <x v="0"/>
    <x v="5"/>
    <n v="0.55000000000000004"/>
    <x v="3"/>
    <n v="136373"/>
    <s v="No"/>
    <s v="Yes"/>
    <d v="2019-08-22T00:00:00"/>
    <n v="4.7249999999999996"/>
  </r>
  <r>
    <n v="74"/>
    <x v="73"/>
    <x v="47"/>
    <x v="4"/>
    <x v="5"/>
    <n v="0.61"/>
    <x v="3"/>
    <n v="98395"/>
    <s v="No"/>
    <s v="No"/>
    <d v="2020-07-30T00:00:00"/>
    <n v="3.786111111111111"/>
  </r>
  <r>
    <n v="75"/>
    <x v="74"/>
    <x v="43"/>
    <x v="2"/>
    <x v="1"/>
    <n v="0.8"/>
    <x v="4"/>
    <n v="266805"/>
    <s v="No"/>
    <s v="Yes"/>
    <d v="2019-08-19T00:00:00"/>
    <n v="4.7333333333333334"/>
  </r>
  <r>
    <n v="76"/>
    <x v="75"/>
    <x v="37"/>
    <x v="5"/>
    <x v="0"/>
    <n v="0.21"/>
    <x v="2"/>
    <n v="187122"/>
    <s v="No"/>
    <s v="No"/>
    <d v="2019-04-16T00:00:00"/>
    <n v="5.0750000000000002"/>
  </r>
  <r>
    <n v="77"/>
    <x v="76"/>
    <x v="24"/>
    <x v="0"/>
    <x v="5"/>
    <n v="0.36"/>
    <x v="0"/>
    <n v="107760"/>
    <s v="No"/>
    <s v="Yes"/>
    <d v="2018-07-29T00:00:00"/>
    <n v="5.7888888888888888"/>
  </r>
  <r>
    <n v="78"/>
    <x v="77"/>
    <x v="0"/>
    <x v="3"/>
    <x v="5"/>
    <n v="0.98"/>
    <x v="3"/>
    <n v="282496"/>
    <s v="No"/>
    <s v="No"/>
    <d v="2020-09-11T00:00:00"/>
    <n v="3.6722222222222221"/>
  </r>
  <r>
    <n v="79"/>
    <x v="78"/>
    <x v="20"/>
    <x v="1"/>
    <x v="0"/>
    <n v="0.11"/>
    <x v="1"/>
    <n v="245792"/>
    <s v="No"/>
    <s v="No"/>
    <d v="2018-02-19T00:00:00"/>
    <n v="6.2333333333333334"/>
  </r>
  <r>
    <n v="80"/>
    <x v="79"/>
    <x v="5"/>
    <x v="0"/>
    <x v="4"/>
    <n v="0.36"/>
    <x v="2"/>
    <n v="118655"/>
    <s v="No"/>
    <s v="No"/>
    <d v="2017-08-20T00:00:00"/>
    <n v="6.7305555555555552"/>
  </r>
  <r>
    <n v="81"/>
    <x v="80"/>
    <x v="16"/>
    <x v="1"/>
    <x v="6"/>
    <n v="0.38"/>
    <x v="0"/>
    <n v="248615"/>
    <s v="No"/>
    <s v="No"/>
    <d v="2020-04-23T00:00:00"/>
    <n v="4.0555555555555554"/>
  </r>
  <r>
    <n v="82"/>
    <x v="81"/>
    <x v="8"/>
    <x v="0"/>
    <x v="2"/>
    <n v="0.51"/>
    <x v="5"/>
    <n v="148570"/>
    <s v="No"/>
    <s v="Yes"/>
    <d v="2020-05-31T00:00:00"/>
    <n v="3.9527777777777779"/>
  </r>
  <r>
    <n v="84"/>
    <x v="82"/>
    <x v="29"/>
    <x v="1"/>
    <x v="2"/>
    <n v="0.74"/>
    <x v="2"/>
    <n v="237416"/>
    <s v="No"/>
    <s v="Yes"/>
    <d v="2018-09-08T00:00:00"/>
    <n v="5.6805555555555554"/>
  </r>
  <r>
    <n v="85"/>
    <x v="83"/>
    <x v="3"/>
    <x v="0"/>
    <x v="5"/>
    <n v="0.66"/>
    <x v="0"/>
    <n v="121515"/>
    <s v="No"/>
    <s v="Yes"/>
    <d v="2017-06-06T00:00:00"/>
    <n v="6.9361111111111109"/>
  </r>
  <r>
    <n v="86"/>
    <x v="84"/>
    <x v="32"/>
    <x v="0"/>
    <x v="1"/>
    <n v="0.3"/>
    <x v="3"/>
    <n v="136730"/>
    <s v="No"/>
    <s v="Yes"/>
    <d v="2017-11-15T00:00:00"/>
    <n v="6.4944444444444445"/>
  </r>
  <r>
    <n v="87"/>
    <x v="85"/>
    <x v="25"/>
    <x v="0"/>
    <x v="7"/>
    <n v="0.8"/>
    <x v="1"/>
    <n v="142420"/>
    <s v="No"/>
    <s v="No"/>
    <d v="2019-11-05T00:00:00"/>
    <n v="4.5222222222222221"/>
  </r>
  <r>
    <n v="89"/>
    <x v="86"/>
    <x v="11"/>
    <x v="6"/>
    <x v="2"/>
    <n v="0.75"/>
    <x v="3"/>
    <n v="325389"/>
    <s v="Yes"/>
    <s v="Yes"/>
    <d v="2020-04-29T00:00:00"/>
    <n v="4.0388888888888888"/>
  </r>
  <r>
    <n v="90"/>
    <x v="87"/>
    <x v="18"/>
    <x v="0"/>
    <x v="3"/>
    <n v="0"/>
    <x v="1"/>
    <n v="109896"/>
    <s v="No"/>
    <s v="No"/>
    <d v="2017-06-15T00:00:00"/>
    <n v="6.9111111111111114"/>
  </r>
  <r>
    <n v="91"/>
    <x v="88"/>
    <x v="44"/>
    <x v="2"/>
    <x v="3"/>
    <n v="0"/>
    <x v="5"/>
    <n v="252253"/>
    <s v="No"/>
    <s v="Yes"/>
    <d v="2017-10-11T00:00:00"/>
    <n v="6.5888888888888886"/>
  </r>
  <r>
    <n v="92"/>
    <x v="89"/>
    <x v="38"/>
    <x v="0"/>
    <x v="7"/>
    <n v="0.91"/>
    <x v="0"/>
    <n v="142641"/>
    <s v="No"/>
    <s v="No"/>
    <d v="2018-10-05T00:00:00"/>
    <n v="5.6055555555555552"/>
  </r>
  <r>
    <n v="93"/>
    <x v="90"/>
    <x v="41"/>
    <x v="4"/>
    <x v="2"/>
    <n v="0.35"/>
    <x v="3"/>
    <n v="72954"/>
    <s v="No"/>
    <s v="No"/>
    <d v="2019-04-08T00:00:00"/>
    <n v="5.0972222222222223"/>
  </r>
  <r>
    <n v="94"/>
    <x v="91"/>
    <x v="45"/>
    <x v="4"/>
    <x v="4"/>
    <n v="0.63"/>
    <x v="2"/>
    <n v="61901"/>
    <s v="No"/>
    <s v="No"/>
    <d v="2019-01-14T00:00:00"/>
    <n v="5.3305555555555557"/>
  </r>
  <r>
    <n v="95"/>
    <x v="92"/>
    <x v="1"/>
    <x v="0"/>
    <x v="1"/>
    <n v="0.49"/>
    <x v="3"/>
    <n v="147563"/>
    <s v="No"/>
    <s v="Yes"/>
    <d v="2019-06-10T00:00:00"/>
    <n v="4.9249999999999998"/>
  </r>
  <r>
    <n v="97"/>
    <x v="93"/>
    <x v="39"/>
    <x v="7"/>
    <x v="8"/>
    <n v="0.82"/>
    <x v="5"/>
    <n v="350000"/>
    <s v="Yes"/>
    <s v="Yes"/>
    <d v="2019-06-07T00:00:00"/>
    <n v="4.9333333333333336"/>
  </r>
  <r>
    <n v="98"/>
    <x v="94"/>
    <x v="23"/>
    <x v="0"/>
    <x v="2"/>
    <n v="0.81"/>
    <x v="0"/>
    <n v="111587"/>
    <s v="No"/>
    <s v="No"/>
    <d v="2019-03-24T00:00:00"/>
    <n v="5.1361111111111111"/>
  </r>
  <r>
    <n v="99"/>
    <x v="95"/>
    <x v="35"/>
    <x v="5"/>
    <x v="6"/>
    <n v="0.55000000000000004"/>
    <x v="3"/>
    <n v="198950"/>
    <s v="No"/>
    <s v="No"/>
    <d v="2017-08-19T00:00:00"/>
    <n v="6.7333333333333334"/>
  </r>
  <r>
    <n v="100"/>
    <x v="96"/>
    <x v="49"/>
    <x v="1"/>
    <x v="3"/>
    <n v="0"/>
    <x v="1"/>
    <n v="229818"/>
    <s v="No"/>
    <s v="No"/>
    <d v="2017-07-23T00:00:00"/>
    <n v="6.8055555555555554"/>
  </r>
  <r>
    <n v="101"/>
    <x v="97"/>
    <x v="7"/>
    <x v="4"/>
    <x v="6"/>
    <n v="0.94"/>
    <x v="4"/>
    <n v="89834"/>
    <s v="No"/>
    <s v="Yes"/>
    <d v="2020-06-06T00:00:00"/>
    <n v="3.9361111111111109"/>
  </r>
  <r>
    <n v="102"/>
    <x v="98"/>
    <x v="14"/>
    <x v="0"/>
    <x v="5"/>
    <n v="0.28000000000000003"/>
    <x v="3"/>
    <n v="142241"/>
    <s v="No"/>
    <s v="No"/>
    <d v="2017-04-21T00:00:00"/>
    <n v="7.0611111111111109"/>
  </r>
  <r>
    <n v="103"/>
    <x v="99"/>
    <x v="22"/>
    <x v="0"/>
    <x v="7"/>
    <n v="0.97"/>
    <x v="3"/>
    <n v="144437"/>
    <s v="No"/>
    <s v="Yes"/>
    <d v="2018-04-12T00:00:00"/>
    <n v="6.0861111111111112"/>
  </r>
  <r>
    <n v="104"/>
    <x v="100"/>
    <x v="9"/>
    <x v="0"/>
    <x v="3"/>
    <n v="0"/>
    <x v="0"/>
    <n v="117420"/>
    <s v="No"/>
    <s v="Yes"/>
    <d v="2020-02-18T00:00:00"/>
    <n v="4.2361111111111107"/>
  </r>
  <r>
    <n v="106"/>
    <x v="101"/>
    <x v="24"/>
    <x v="0"/>
    <x v="2"/>
    <n v="0.87"/>
    <x v="1"/>
    <n v="115851"/>
    <s v="No"/>
    <s v="No"/>
    <d v="2020-01-07T00:00:00"/>
    <n v="4.3499999999999996"/>
  </r>
  <r>
    <n v="107"/>
    <x v="102"/>
    <x v="27"/>
    <x v="1"/>
    <x v="2"/>
    <n v="0.36"/>
    <x v="4"/>
    <n v="230516"/>
    <s v="Yes"/>
    <s v="Yes"/>
    <d v="2020-02-04T00:00:00"/>
    <n v="4.2750000000000004"/>
  </r>
  <r>
    <n v="108"/>
    <x v="103"/>
    <x v="32"/>
    <x v="1"/>
    <x v="3"/>
    <n v="0"/>
    <x v="3"/>
    <n v="241734"/>
    <s v="No"/>
    <s v="No"/>
    <d v="2019-06-12T00:00:00"/>
    <n v="4.9194444444444443"/>
  </r>
  <r>
    <n v="109"/>
    <x v="104"/>
    <x v="46"/>
    <x v="5"/>
    <x v="1"/>
    <n v="0.92"/>
    <x v="5"/>
    <n v="194140"/>
    <s v="No"/>
    <s v="Yes"/>
    <d v="2019-12-27T00:00:00"/>
    <n v="4.3777777777777782"/>
  </r>
  <r>
    <n v="110"/>
    <x v="105"/>
    <x v="28"/>
    <x v="2"/>
    <x v="4"/>
    <n v="0.84"/>
    <x v="2"/>
    <n v="273390"/>
    <s v="No"/>
    <s v="No"/>
    <d v="2019-12-05T00:00:00"/>
    <n v="4.4388888888888891"/>
  </r>
  <r>
    <n v="111"/>
    <x v="106"/>
    <x v="1"/>
    <x v="4"/>
    <x v="7"/>
    <n v="0.94"/>
    <x v="1"/>
    <n v="61323"/>
    <s v="No"/>
    <s v="Yes"/>
    <d v="2017-12-18T00:00:00"/>
    <n v="6.4027777777777777"/>
  </r>
  <r>
    <n v="112"/>
    <x v="107"/>
    <x v="3"/>
    <x v="2"/>
    <x v="4"/>
    <n v="0.98"/>
    <x v="1"/>
    <n v="271102"/>
    <s v="No"/>
    <s v="No"/>
    <d v="2017-09-15T00:00:00"/>
    <n v="6.6611111111111114"/>
  </r>
  <r>
    <n v="113"/>
    <x v="108"/>
    <x v="10"/>
    <x v="1"/>
    <x v="7"/>
    <n v="0.51"/>
    <x v="3"/>
    <n v="245096"/>
    <s v="No"/>
    <s v="No"/>
    <d v="2018-05-05T00:00:00"/>
    <n v="6.0222222222222221"/>
  </r>
  <r>
    <n v="114"/>
    <x v="109"/>
    <x v="38"/>
    <x v="5"/>
    <x v="2"/>
    <n v="0.73"/>
    <x v="3"/>
    <n v="201331"/>
    <s v="No"/>
    <s v="No"/>
    <d v="2018-06-19T00:00:00"/>
    <n v="5.9"/>
  </r>
  <r>
    <n v="115"/>
    <x v="110"/>
    <x v="30"/>
    <x v="5"/>
    <x v="4"/>
    <n v="0.62"/>
    <x v="4"/>
    <n v="191374"/>
    <s v="No"/>
    <s v="Yes"/>
    <d v="2017-09-16T00:00:00"/>
    <n v="6.6583333333333332"/>
  </r>
  <r>
    <n v="116"/>
    <x v="111"/>
    <x v="7"/>
    <x v="5"/>
    <x v="0"/>
    <n v="0.97"/>
    <x v="1"/>
    <n v="207562"/>
    <s v="No"/>
    <s v="No"/>
    <d v="2020-01-30T00:00:00"/>
    <n v="4.2861111111111114"/>
  </r>
  <r>
    <n v="117"/>
    <x v="112"/>
    <x v="15"/>
    <x v="1"/>
    <x v="6"/>
    <n v="0.85"/>
    <x v="2"/>
    <n v="246716"/>
    <s v="No"/>
    <s v="No"/>
    <d v="2019-11-27T00:00:00"/>
    <n v="4.4611111111111112"/>
  </r>
  <r>
    <n v="118"/>
    <x v="113"/>
    <x v="2"/>
    <x v="0"/>
    <x v="5"/>
    <n v="0.97"/>
    <x v="0"/>
    <n v="100928"/>
    <s v="No"/>
    <s v="No"/>
    <d v="2018-09-24T00:00:00"/>
    <n v="5.6361111111111111"/>
  </r>
  <r>
    <n v="119"/>
    <x v="114"/>
    <x v="39"/>
    <x v="1"/>
    <x v="2"/>
    <n v="0.17"/>
    <x v="1"/>
    <n v="228460"/>
    <s v="No"/>
    <s v="No"/>
    <d v="2020-01-19T00:00:00"/>
    <n v="4.3166666666666664"/>
  </r>
  <r>
    <n v="120"/>
    <x v="115"/>
    <x v="42"/>
    <x v="0"/>
    <x v="2"/>
    <n v="0.98"/>
    <x v="3"/>
    <n v="106817"/>
    <s v="No"/>
    <s v="Yes"/>
    <d v="2018-04-05T00:00:00"/>
    <n v="6.1055555555555552"/>
  </r>
  <r>
    <n v="886"/>
    <x v="116"/>
    <x v="21"/>
    <x v="4"/>
    <x v="0"/>
    <n v="0.96"/>
    <x v="3"/>
    <n v="92725"/>
    <s v="No"/>
    <s v="No"/>
    <d v="2020-06-17T00:00:00"/>
    <n v="3.9055555555555554"/>
  </r>
  <r>
    <n v="887"/>
    <x v="117"/>
    <x v="25"/>
    <x v="0"/>
    <x v="7"/>
    <n v="0.45"/>
    <x v="0"/>
    <n v="105965"/>
    <s v="No"/>
    <s v="No"/>
    <d v="2019-12-31T00:00:00"/>
    <n v="4.3694444444444445"/>
  </r>
  <r>
    <n v="888"/>
    <x v="118"/>
    <x v="14"/>
    <x v="4"/>
    <x v="5"/>
    <n v="0.68"/>
    <x v="0"/>
    <n v="69293"/>
    <s v="No"/>
    <s v="No"/>
    <d v="2018-08-10T00:00:00"/>
    <n v="5.7583333333333337"/>
  </r>
  <r>
    <n v="889"/>
    <x v="119"/>
    <x v="47"/>
    <x v="1"/>
    <x v="3"/>
    <n v="0"/>
    <x v="0"/>
    <n v="226184"/>
    <s v="No"/>
    <s v="Yes"/>
    <d v="2018-08-07T00:00:00"/>
    <n v="5.7666666666666666"/>
  </r>
  <r>
    <n v="890"/>
    <x v="120"/>
    <x v="4"/>
    <x v="0"/>
    <x v="1"/>
    <n v="0.74"/>
    <x v="1"/>
    <n v="113429"/>
    <s v="No"/>
    <s v="No"/>
    <d v="2020-05-09T00:00:00"/>
    <n v="4.0111111111111111"/>
  </r>
  <r>
    <n v="891"/>
    <x v="121"/>
    <x v="16"/>
    <x v="5"/>
    <x v="3"/>
    <n v="0"/>
    <x v="2"/>
    <n v="197945"/>
    <s v="No"/>
    <s v="No"/>
    <d v="2017-05-12T00:00:00"/>
    <n v="7.0027777777777782"/>
  </r>
  <r>
    <n v="892"/>
    <x v="122"/>
    <x v="40"/>
    <x v="0"/>
    <x v="1"/>
    <n v="0.91"/>
    <x v="2"/>
    <n v="103840"/>
    <s v="No"/>
    <s v="Yes"/>
    <d v="2020-10-01T00:00:00"/>
    <n v="3.6166666666666667"/>
  </r>
  <r>
    <n v="893"/>
    <x v="123"/>
    <x v="34"/>
    <x v="0"/>
    <x v="0"/>
    <n v="0.42"/>
    <x v="2"/>
    <n v="132391"/>
    <s v="No"/>
    <s v="No"/>
    <d v="2019-05-28T00:00:00"/>
    <n v="4.958333333333333"/>
  </r>
  <r>
    <n v="894"/>
    <x v="124"/>
    <x v="17"/>
    <x v="1"/>
    <x v="7"/>
    <n v="0.55000000000000004"/>
    <x v="2"/>
    <n v="226244"/>
    <s v="No"/>
    <s v="Yes"/>
    <d v="2020-04-04T00:00:00"/>
    <n v="4.1083333333333334"/>
  </r>
  <r>
    <n v="895"/>
    <x v="125"/>
    <x v="13"/>
    <x v="5"/>
    <x v="4"/>
    <n v="0.52"/>
    <x v="3"/>
    <n v="190913"/>
    <s v="No"/>
    <s v="Yes"/>
    <d v="2019-01-18T00:00:00"/>
    <n v="5.3194444444444446"/>
  </r>
  <r>
    <n v="896"/>
    <x v="126"/>
    <x v="48"/>
    <x v="5"/>
    <x v="4"/>
    <n v="0.18"/>
    <x v="3"/>
    <n v="205075"/>
    <s v="No"/>
    <s v="No"/>
    <d v="2020-03-17T00:00:00"/>
    <n v="4.1555555555555559"/>
  </r>
  <r>
    <n v="897"/>
    <x v="127"/>
    <x v="19"/>
    <x v="5"/>
    <x v="5"/>
    <n v="0.56000000000000005"/>
    <x v="2"/>
    <n v="208644"/>
    <s v="No"/>
    <s v="No"/>
    <d v="2019-11-02T00:00:00"/>
    <n v="4.5305555555555559"/>
  </r>
  <r>
    <n v="898"/>
    <x v="128"/>
    <x v="26"/>
    <x v="4"/>
    <x v="1"/>
    <n v="0.77"/>
    <x v="0"/>
    <n v="63580"/>
    <s v="No"/>
    <s v="Yes"/>
    <d v="2020-06-08T00:00:00"/>
    <n v="3.9305555555555554"/>
  </r>
  <r>
    <n v="899"/>
    <x v="129"/>
    <x v="0"/>
    <x v="0"/>
    <x v="7"/>
    <n v="0.5"/>
    <x v="2"/>
    <n v="125172"/>
    <s v="No"/>
    <s v="Yes"/>
    <d v="2018-03-30T00:00:00"/>
    <n v="6.1194444444444445"/>
  </r>
  <r>
    <n v="900"/>
    <x v="130"/>
    <x v="20"/>
    <x v="1"/>
    <x v="2"/>
    <n v="0.45"/>
    <x v="1"/>
    <n v="240838"/>
    <s v="No"/>
    <s v="Yes"/>
    <d v="2017-07-06T00:00:00"/>
    <n v="6.8527777777777779"/>
  </r>
  <r>
    <n v="901"/>
    <x v="131"/>
    <x v="12"/>
    <x v="2"/>
    <x v="4"/>
    <n v="0.55000000000000004"/>
    <x v="2"/>
    <n v="250125"/>
    <s v="No"/>
    <s v="Yes"/>
    <d v="2018-07-29T00:00:00"/>
    <n v="5.7888888888888888"/>
  </r>
  <r>
    <n v="903"/>
    <x v="132"/>
    <x v="33"/>
    <x v="2"/>
    <x v="1"/>
    <n v="0.99"/>
    <x v="1"/>
    <n v="272572"/>
    <s v="No"/>
    <s v="Yes"/>
    <d v="2018-03-25T00:00:00"/>
    <n v="6.1333333333333337"/>
  </r>
  <r>
    <n v="904"/>
    <x v="133"/>
    <x v="35"/>
    <x v="4"/>
    <x v="0"/>
    <n v="0.62"/>
    <x v="1"/>
    <n v="91164"/>
    <s v="No"/>
    <s v="No"/>
    <d v="2017-07-06T00:00:00"/>
    <n v="6.8527777777777779"/>
  </r>
  <r>
    <n v="905"/>
    <x v="134"/>
    <x v="29"/>
    <x v="4"/>
    <x v="5"/>
    <n v="0.98"/>
    <x v="2"/>
    <n v="73296"/>
    <s v="No"/>
    <s v="Yes"/>
    <d v="2019-03-10T00:00:00"/>
    <n v="5.1749999999999998"/>
  </r>
  <r>
    <n v="906"/>
    <x v="135"/>
    <x v="8"/>
    <x v="2"/>
    <x v="1"/>
    <n v="0.79"/>
    <x v="3"/>
    <n v="266481"/>
    <s v="Yes"/>
    <s v="No"/>
    <d v="2017-10-07T00:00:00"/>
    <n v="6.6"/>
  </r>
  <r>
    <n v="907"/>
    <x v="136"/>
    <x v="6"/>
    <x v="0"/>
    <x v="0"/>
    <n v="0.45"/>
    <x v="0"/>
    <n v="145263"/>
    <s v="No"/>
    <s v="No"/>
    <d v="2018-11-01T00:00:00"/>
    <n v="5.5333333333333332"/>
  </r>
  <r>
    <n v="908"/>
    <x v="137"/>
    <x v="5"/>
    <x v="0"/>
    <x v="4"/>
    <n v="0.77"/>
    <x v="3"/>
    <n v="135594"/>
    <s v="No"/>
    <s v="No"/>
    <d v="2018-10-01T00:00:00"/>
    <n v="5.6166666666666663"/>
  </r>
  <r>
    <n v="909"/>
    <x v="138"/>
    <x v="45"/>
    <x v="5"/>
    <x v="4"/>
    <n v="0.37"/>
    <x v="2"/>
    <n v="182057"/>
    <s v="No"/>
    <s v="Yes"/>
    <d v="2019-05-31T00:00:00"/>
    <n v="4.9527777777777775"/>
  </r>
  <r>
    <n v="910"/>
    <x v="139"/>
    <x v="49"/>
    <x v="5"/>
    <x v="3"/>
    <n v="0"/>
    <x v="2"/>
    <n v="203316"/>
    <s v="No"/>
    <s v="No"/>
    <d v="2019-07-20T00:00:00"/>
    <n v="4.8138888888888891"/>
  </r>
  <r>
    <n v="911"/>
    <x v="140"/>
    <x v="41"/>
    <x v="4"/>
    <x v="6"/>
    <n v="0.33"/>
    <x v="1"/>
    <n v="61486"/>
    <s v="No"/>
    <s v="Yes"/>
    <d v="2017-08-25T00:00:00"/>
    <n v="6.7166666666666668"/>
  </r>
  <r>
    <n v="912"/>
    <x v="141"/>
    <x v="36"/>
    <x v="1"/>
    <x v="2"/>
    <n v="0.5"/>
    <x v="4"/>
    <n v="226160"/>
    <s v="No"/>
    <s v="Yes"/>
    <d v="2020-06-13T00:00:00"/>
    <n v="3.9166666666666665"/>
  </r>
  <r>
    <n v="913"/>
    <x v="142"/>
    <x v="37"/>
    <x v="4"/>
    <x v="5"/>
    <n v="0.51"/>
    <x v="2"/>
    <n v="74382"/>
    <s v="No"/>
    <s v="Yes"/>
    <d v="2018-07-07T00:00:00"/>
    <n v="5.85"/>
  </r>
  <r>
    <n v="914"/>
    <x v="143"/>
    <x v="43"/>
    <x v="2"/>
    <x v="3"/>
    <n v="0"/>
    <x v="3"/>
    <n v="261357"/>
    <s v="No"/>
    <s v="Yes"/>
    <d v="2018-01-16T00:00:00"/>
    <n v="6.3250000000000002"/>
  </r>
  <r>
    <n v="915"/>
    <x v="144"/>
    <x v="11"/>
    <x v="0"/>
    <x v="6"/>
    <n v="0.6"/>
    <x v="0"/>
    <n v="102560"/>
    <s v="No"/>
    <s v="No"/>
    <d v="2017-12-28T00:00:00"/>
    <n v="6.375"/>
  </r>
  <r>
    <n v="917"/>
    <x v="145"/>
    <x v="44"/>
    <x v="5"/>
    <x v="7"/>
    <n v="0.64"/>
    <x v="3"/>
    <n v="189293"/>
    <s v="No"/>
    <s v="No"/>
    <d v="2019-10-27T00:00:00"/>
    <n v="4.5444444444444443"/>
  </r>
  <r>
    <n v="918"/>
    <x v="146"/>
    <x v="18"/>
    <x v="1"/>
    <x v="4"/>
    <n v="0.59"/>
    <x v="0"/>
    <n v="236750"/>
    <s v="No"/>
    <s v="Yes"/>
    <d v="2018-10-06T00:00:00"/>
    <n v="5.6027777777777779"/>
  </r>
  <r>
    <n v="919"/>
    <x v="147"/>
    <x v="23"/>
    <x v="5"/>
    <x v="3"/>
    <n v="0"/>
    <x v="3"/>
    <n v="201188"/>
    <s v="No"/>
    <s v="Yes"/>
    <d v="2019-08-24T00:00:00"/>
    <n v="4.7194444444444441"/>
  </r>
  <r>
    <n v="920"/>
    <x v="148"/>
    <x v="31"/>
    <x v="4"/>
    <x v="0"/>
    <n v="0.69"/>
    <x v="2"/>
    <n v="81729"/>
    <s v="No"/>
    <s v="No"/>
    <d v="2017-12-05T00:00:00"/>
    <n v="6.4388888888888891"/>
  </r>
  <r>
    <n v="921"/>
    <x v="149"/>
    <x v="22"/>
    <x v="0"/>
    <x v="5"/>
    <n v="0.79"/>
    <x v="5"/>
    <n v="145739"/>
    <s v="No"/>
    <s v="Yes"/>
    <d v="2018-02-14T00:00:00"/>
    <n v="6.2472222222222218"/>
  </r>
  <r>
    <n v="922"/>
    <x v="150"/>
    <x v="40"/>
    <x v="0"/>
    <x v="6"/>
    <n v="0.25"/>
    <x v="1"/>
    <n v="108569"/>
    <s v="No"/>
    <s v="No"/>
    <d v="2017-06-26T00:00:00"/>
    <n v="6.8805555555555555"/>
  </r>
  <r>
    <n v="923"/>
    <x v="151"/>
    <x v="13"/>
    <x v="2"/>
    <x v="0"/>
    <n v="0.77"/>
    <x v="3"/>
    <n v="271691"/>
    <s v="No"/>
    <s v="Yes"/>
    <d v="2020-08-15T00:00:00"/>
    <n v="3.7444444444444445"/>
  </r>
  <r>
    <n v="924"/>
    <x v="152"/>
    <x v="30"/>
    <x v="1"/>
    <x v="1"/>
    <n v="0.99"/>
    <x v="3"/>
    <n v="230202"/>
    <s v="No"/>
    <s v="Yes"/>
    <d v="2020-11-29T00:00:00"/>
    <n v="3.4555555555555557"/>
  </r>
  <r>
    <n v="925"/>
    <x v="153"/>
    <x v="26"/>
    <x v="1"/>
    <x v="3"/>
    <n v="0"/>
    <x v="3"/>
    <n v="237225"/>
    <s v="No"/>
    <s v="No"/>
    <d v="2020-02-19T00:00:00"/>
    <n v="4.2333333333333334"/>
  </r>
  <r>
    <n v="926"/>
    <x v="154"/>
    <x v="28"/>
    <x v="4"/>
    <x v="0"/>
    <n v="0.92"/>
    <x v="0"/>
    <n v="81278"/>
    <s v="No"/>
    <s v="Yes"/>
    <d v="2017-07-12T00:00:00"/>
    <n v="6.8361111111111112"/>
  </r>
  <r>
    <n v="927"/>
    <x v="155"/>
    <x v="21"/>
    <x v="2"/>
    <x v="1"/>
    <n v="0.87"/>
    <x v="4"/>
    <n v="271323"/>
    <s v="No"/>
    <s v="Yes"/>
    <d v="2017-11-29T00:00:00"/>
    <n v="6.4555555555555557"/>
  </r>
  <r>
    <n v="929"/>
    <x v="156"/>
    <x v="42"/>
    <x v="0"/>
    <x v="4"/>
    <n v="0.45"/>
    <x v="3"/>
    <n v="131823"/>
    <s v="No"/>
    <s v="Yes"/>
    <d v="2018-03-08T00:00:00"/>
    <n v="6.1805555555555554"/>
  </r>
  <r>
    <n v="930"/>
    <x v="157"/>
    <x v="9"/>
    <x v="5"/>
    <x v="2"/>
    <n v="0.38"/>
    <x v="0"/>
    <n v="197384"/>
    <s v="No"/>
    <s v="No"/>
    <d v="2018-09-25T00:00:00"/>
    <n v="5.6333333333333337"/>
  </r>
  <r>
    <n v="931"/>
    <x v="158"/>
    <x v="48"/>
    <x v="5"/>
    <x v="3"/>
    <n v="0"/>
    <x v="2"/>
    <n v="199093"/>
    <s v="No"/>
    <s v="No"/>
    <d v="2017-05-14T00:00:00"/>
    <n v="6.9972222222222218"/>
  </r>
  <r>
    <n v="932"/>
    <x v="159"/>
    <x v="15"/>
    <x v="0"/>
    <x v="7"/>
    <n v="0.2"/>
    <x v="2"/>
    <n v="139526"/>
    <s v="No"/>
    <s v="No"/>
    <d v="2017-07-27T00:00:00"/>
    <n v="6.7944444444444443"/>
  </r>
  <r>
    <n v="933"/>
    <x v="160"/>
    <x v="4"/>
    <x v="4"/>
    <x v="3"/>
    <n v="0"/>
    <x v="0"/>
    <n v="95605"/>
    <s v="No"/>
    <s v="Yes"/>
    <d v="2020-12-18T00:00:00"/>
    <n v="3.4027777777777777"/>
  </r>
  <r>
    <n v="934"/>
    <x v="161"/>
    <x v="36"/>
    <x v="4"/>
    <x v="4"/>
    <n v="0.14000000000000001"/>
    <x v="1"/>
    <n v="89907"/>
    <s v="No"/>
    <s v="No"/>
    <d v="2019-09-21T00:00:00"/>
    <n v="4.6444444444444448"/>
  </r>
  <r>
    <n v="935"/>
    <x v="162"/>
    <x v="27"/>
    <x v="1"/>
    <x v="1"/>
    <n v="0.52"/>
    <x v="3"/>
    <n v="234380"/>
    <s v="No"/>
    <s v="Yes"/>
    <d v="2017-05-01T00:00:00"/>
    <n v="7.0333333333333332"/>
  </r>
  <r>
    <n v="936"/>
    <x v="163"/>
    <x v="34"/>
    <x v="5"/>
    <x v="6"/>
    <n v="0.5"/>
    <x v="3"/>
    <n v="192029"/>
    <s v="No"/>
    <s v="No"/>
    <d v="2017-11-19T00:00:00"/>
    <n v="6.4833333333333334"/>
  </r>
  <r>
    <n v="937"/>
    <x v="164"/>
    <x v="6"/>
    <x v="4"/>
    <x v="3"/>
    <n v="0"/>
    <x v="1"/>
    <n v="87621"/>
    <s v="No"/>
    <s v="Yes"/>
    <d v="2017-07-06T00:00:00"/>
    <n v="6.8527777777777779"/>
  </r>
  <r>
    <n v="938"/>
    <x v="165"/>
    <x v="2"/>
    <x v="1"/>
    <x v="3"/>
    <n v="0"/>
    <x v="0"/>
    <n v="233202"/>
    <s v="No"/>
    <s v="No"/>
    <d v="2020-02-09T00:00:00"/>
    <n v="4.2611111111111111"/>
  </r>
  <r>
    <n v="939"/>
    <x v="166"/>
    <x v="19"/>
    <x v="4"/>
    <x v="5"/>
    <n v="0.42"/>
    <x v="1"/>
    <n v="82364"/>
    <s v="No"/>
    <s v="No"/>
    <d v="2020-07-16T00:00:00"/>
    <n v="3.8250000000000002"/>
  </r>
  <r>
    <n v="940"/>
    <x v="167"/>
    <x v="17"/>
    <x v="2"/>
    <x v="4"/>
    <n v="0.56999999999999995"/>
    <x v="3"/>
    <n v="251363"/>
    <s v="Yes"/>
    <s v="Yes"/>
    <d v="2019-06-10T00:00:00"/>
    <n v="4.9249999999999998"/>
  </r>
  <r>
    <n v="941"/>
    <x v="168"/>
    <x v="47"/>
    <x v="2"/>
    <x v="7"/>
    <n v="0.35"/>
    <x v="1"/>
    <n v="258489"/>
    <s v="No"/>
    <s v="No"/>
    <d v="2019-11-21T00:00:00"/>
    <n v="4.4777777777777779"/>
  </r>
  <r>
    <n v="943"/>
    <x v="169"/>
    <x v="43"/>
    <x v="2"/>
    <x v="4"/>
    <n v="0.2"/>
    <x v="2"/>
    <n v="250506"/>
    <s v="No"/>
    <s v="No"/>
    <d v="2017-12-23T00:00:00"/>
    <n v="6.3888888888888893"/>
  </r>
  <r>
    <n v="944"/>
    <x v="170"/>
    <x v="37"/>
    <x v="2"/>
    <x v="4"/>
    <n v="0.35"/>
    <x v="2"/>
    <n v="272461"/>
    <s v="No"/>
    <s v="No"/>
    <d v="2020-11-14T00:00:00"/>
    <n v="3.4972222222222222"/>
  </r>
  <r>
    <n v="945"/>
    <x v="171"/>
    <x v="24"/>
    <x v="2"/>
    <x v="6"/>
    <n v="0.9"/>
    <x v="3"/>
    <n v="250141"/>
    <s v="Yes"/>
    <s v="Yes"/>
    <d v="2020-12-19T00:00:00"/>
    <n v="3.4"/>
  </r>
  <r>
    <n v="946"/>
    <x v="172"/>
    <x v="0"/>
    <x v="0"/>
    <x v="4"/>
    <n v="0.97"/>
    <x v="2"/>
    <n v="129244"/>
    <s v="No"/>
    <s v="No"/>
    <d v="2020-08-29T00:00:00"/>
    <n v="3.7055555555555557"/>
  </r>
  <r>
    <n v="947"/>
    <x v="173"/>
    <x v="20"/>
    <x v="0"/>
    <x v="0"/>
    <n v="0.62"/>
    <x v="3"/>
    <n v="119476"/>
    <s v="No"/>
    <s v="No"/>
    <d v="2017-07-03T00:00:00"/>
    <n v="6.8611111111111107"/>
  </r>
  <r>
    <n v="948"/>
    <x v="174"/>
    <x v="5"/>
    <x v="1"/>
    <x v="0"/>
    <n v="0.34"/>
    <x v="2"/>
    <n v="223268"/>
    <s v="No"/>
    <s v="Yes"/>
    <d v="2019-12-08T00:00:00"/>
    <n v="4.4305555555555554"/>
  </r>
  <r>
    <n v="949"/>
    <x v="43"/>
    <x v="16"/>
    <x v="1"/>
    <x v="4"/>
    <n v="0.69"/>
    <x v="1"/>
    <n v="246814"/>
    <s v="No"/>
    <s v="Yes"/>
    <d v="2020-12-01T00:00:00"/>
    <n v="3.45"/>
  </r>
  <r>
    <n v="950"/>
    <x v="175"/>
    <x v="8"/>
    <x v="4"/>
    <x v="3"/>
    <n v="0"/>
    <x v="0"/>
    <n v="82781"/>
    <s v="No"/>
    <s v="Yes"/>
    <d v="2018-02-02T00:00:00"/>
    <n v="6.2805555555555559"/>
  </r>
  <r>
    <n v="952"/>
    <x v="176"/>
    <x v="29"/>
    <x v="1"/>
    <x v="5"/>
    <n v="0.41"/>
    <x v="5"/>
    <n v="236203"/>
    <s v="No"/>
    <s v="Yes"/>
    <d v="2019-08-15T00:00:00"/>
    <n v="4.7444444444444445"/>
  </r>
  <r>
    <n v="954"/>
    <x v="177"/>
    <x v="14"/>
    <x v="2"/>
    <x v="3"/>
    <n v="0"/>
    <x v="3"/>
    <n v="256906"/>
    <s v="No"/>
    <s v="Yes"/>
    <d v="2019-12-17T00:00:00"/>
    <n v="4.4055555555555559"/>
  </r>
  <r>
    <n v="955"/>
    <x v="178"/>
    <x v="47"/>
    <x v="1"/>
    <x v="2"/>
    <n v="0.67"/>
    <x v="2"/>
    <n v="222578"/>
    <s v="No"/>
    <s v="No"/>
    <d v="2018-12-27T00:00:00"/>
    <n v="5.3777777777777782"/>
  </r>
  <r>
    <n v="956"/>
    <x v="179"/>
    <x v="4"/>
    <x v="2"/>
    <x v="5"/>
    <n v="0.52"/>
    <x v="2"/>
    <n v="261050"/>
    <s v="No"/>
    <s v="Yes"/>
    <d v="2017-11-23T00:00:00"/>
    <n v="6.4722222222222223"/>
  </r>
  <r>
    <n v="957"/>
    <x v="180"/>
    <x v="16"/>
    <x v="0"/>
    <x v="7"/>
    <n v="0.63"/>
    <x v="5"/>
    <n v="107014"/>
    <s v="No"/>
    <s v="Yes"/>
    <d v="2017-07-20T00:00:00"/>
    <n v="6.8138888888888891"/>
  </r>
  <r>
    <n v="959"/>
    <x v="181"/>
    <x v="40"/>
    <x v="4"/>
    <x v="5"/>
    <n v="0.1"/>
    <x v="2"/>
    <n v="97440"/>
    <s v="No"/>
    <s v="No"/>
    <d v="2019-01-15T00:00:00"/>
    <n v="5.3277777777777775"/>
  </r>
  <r>
    <n v="960"/>
    <x v="182"/>
    <x v="34"/>
    <x v="2"/>
    <x v="5"/>
    <n v="0.11"/>
    <x v="3"/>
    <n v="269759"/>
    <s v="No"/>
    <s v="No"/>
    <d v="2020-04-15T00:00:00"/>
    <n v="4.0777777777777775"/>
  </r>
  <r>
    <n v="961"/>
    <x v="183"/>
    <x v="17"/>
    <x v="4"/>
    <x v="0"/>
    <n v="0.25"/>
    <x v="0"/>
    <n v="85782"/>
    <s v="No"/>
    <s v="No"/>
    <d v="2017-12-28T00:00:00"/>
    <n v="6.375"/>
  </r>
  <r>
    <n v="962"/>
    <x v="184"/>
    <x v="13"/>
    <x v="2"/>
    <x v="7"/>
    <n v="0.35"/>
    <x v="4"/>
    <n v="261329"/>
    <s v="No"/>
    <s v="Yes"/>
    <d v="2019-05-13T00:00:00"/>
    <n v="5"/>
  </r>
  <r>
    <n v="963"/>
    <x v="185"/>
    <x v="48"/>
    <x v="5"/>
    <x v="1"/>
    <n v="0.79"/>
    <x v="1"/>
    <n v="189342"/>
    <s v="No"/>
    <s v="Yes"/>
    <d v="2018-08-11T00:00:00"/>
    <n v="5.7555555555555555"/>
  </r>
  <r>
    <n v="964"/>
    <x v="186"/>
    <x v="19"/>
    <x v="4"/>
    <x v="2"/>
    <n v="0.56999999999999995"/>
    <x v="2"/>
    <n v="63634"/>
    <s v="No"/>
    <s v="No"/>
    <d v="2020-07-15T00:00:00"/>
    <n v="3.8277777777777779"/>
  </r>
  <r>
    <n v="965"/>
    <x v="187"/>
    <x v="26"/>
    <x v="2"/>
    <x v="5"/>
    <n v="0.82"/>
    <x v="1"/>
    <n v="263916"/>
    <s v="No"/>
    <s v="No"/>
    <d v="2017-05-12T00:00:00"/>
    <n v="7.0027777777777782"/>
  </r>
  <r>
    <n v="967"/>
    <x v="188"/>
    <x v="0"/>
    <x v="5"/>
    <x v="7"/>
    <n v="0.85"/>
    <x v="0"/>
    <n v="187266"/>
    <s v="Yes"/>
    <s v="No"/>
    <d v="2017-05-16T00:00:00"/>
    <n v="6.9916666666666663"/>
  </r>
  <r>
    <n v="968"/>
    <x v="189"/>
    <x v="20"/>
    <x v="1"/>
    <x v="2"/>
    <n v="0.59"/>
    <x v="3"/>
    <n v="231954"/>
    <s v="Yes"/>
    <s v="Yes"/>
    <d v="2018-07-06T00:00:00"/>
    <n v="5.8527777777777779"/>
  </r>
  <r>
    <n v="970"/>
    <x v="190"/>
    <x v="12"/>
    <x v="0"/>
    <x v="3"/>
    <n v="0"/>
    <x v="2"/>
    <n v="114725"/>
    <s v="Yes"/>
    <s v="Yes"/>
    <d v="2020-08-05T00:00:00"/>
    <n v="3.7722222222222221"/>
  </r>
  <r>
    <n v="971"/>
    <x v="191"/>
    <x v="33"/>
    <x v="5"/>
    <x v="2"/>
    <n v="0.62"/>
    <x v="3"/>
    <n v="197410"/>
    <s v="Yes"/>
    <s v="No"/>
    <d v="2017-07-28T00:00:00"/>
    <n v="6.791666666666667"/>
  </r>
  <r>
    <n v="973"/>
    <x v="192"/>
    <x v="35"/>
    <x v="4"/>
    <x v="0"/>
    <n v="0.31"/>
    <x v="1"/>
    <n v="79529"/>
    <s v="Yes"/>
    <s v="Yes"/>
    <d v="2018-03-11T00:00:00"/>
    <n v="6.1722222222222225"/>
  </r>
  <r>
    <n v="975"/>
    <x v="193"/>
    <x v="29"/>
    <x v="2"/>
    <x v="1"/>
    <n v="0.87"/>
    <x v="1"/>
    <n v="264108"/>
    <s v="Yes"/>
    <s v="Yes"/>
    <d v="2018-08-01T00:00:00"/>
    <n v="5.7833333333333332"/>
  </r>
  <r>
    <n v="976"/>
    <x v="194"/>
    <x v="8"/>
    <x v="5"/>
    <x v="2"/>
    <n v="0.53"/>
    <x v="0"/>
    <n v="195890"/>
    <s v="No"/>
    <s v="No"/>
    <d v="2020-03-01T00:00:00"/>
    <n v="4.2"/>
  </r>
  <r>
    <n v="977"/>
    <x v="195"/>
    <x v="6"/>
    <x v="0"/>
    <x v="6"/>
    <n v="0.34"/>
    <x v="5"/>
    <n v="134311"/>
    <s v="Yes"/>
    <s v="Yes"/>
    <d v="2020-11-16T00:00:00"/>
    <n v="3.4916666666666667"/>
  </r>
  <r>
    <n v="978"/>
    <x v="196"/>
    <x v="5"/>
    <x v="4"/>
    <x v="2"/>
    <n v="0.13"/>
    <x v="2"/>
    <n v="93905"/>
    <s v="No"/>
    <s v="No"/>
    <d v="2020-12-22T00:00:00"/>
    <n v="3.3916666666666666"/>
  </r>
  <r>
    <n v="979"/>
    <x v="197"/>
    <x v="45"/>
    <x v="5"/>
    <x v="7"/>
    <n v="0.59"/>
    <x v="0"/>
    <n v="196764"/>
    <s v="No"/>
    <s v="Yes"/>
    <d v="2019-06-21T00:00:00"/>
    <n v="4.8944444444444448"/>
  </r>
  <r>
    <n v="981"/>
    <x v="198"/>
    <x v="49"/>
    <x v="1"/>
    <x v="7"/>
    <n v="0.62"/>
    <x v="0"/>
    <n v="234079"/>
    <s v="No"/>
    <s v="Yes"/>
    <d v="2018-04-04T00:00:00"/>
    <n v="6.1083333333333334"/>
  </r>
  <r>
    <n v="983"/>
    <x v="199"/>
    <x v="41"/>
    <x v="5"/>
    <x v="7"/>
    <n v="0.89"/>
    <x v="0"/>
    <n v="206930"/>
    <s v="No"/>
    <s v="No"/>
    <d v="2018-05-24T00:00:00"/>
    <n v="5.9694444444444441"/>
  </r>
  <r>
    <n v="984"/>
    <x v="200"/>
    <x v="36"/>
    <x v="2"/>
    <x v="0"/>
    <n v="0.53"/>
    <x v="2"/>
    <n v="274977"/>
    <s v="No"/>
    <s v="Yes"/>
    <d v="2020-12-15T00:00:00"/>
    <n v="3.411111111111111"/>
  </r>
  <r>
    <n v="985"/>
    <x v="201"/>
    <x v="37"/>
    <x v="0"/>
    <x v="1"/>
    <n v="0.8"/>
    <x v="0"/>
    <n v="124656"/>
    <s v="No"/>
    <s v="No"/>
    <d v="2017-11-01T00:00:00"/>
    <n v="6.5333333333333332"/>
  </r>
  <r>
    <n v="988"/>
    <x v="202"/>
    <x v="43"/>
    <x v="0"/>
    <x v="6"/>
    <n v="0.61"/>
    <x v="0"/>
    <n v="115367"/>
    <s v="No"/>
    <s v="Yes"/>
    <d v="2017-12-15T00:00:00"/>
    <n v="6.4111111111111114"/>
  </r>
  <r>
    <n v="990"/>
    <x v="203"/>
    <x v="11"/>
    <x v="4"/>
    <x v="3"/>
    <n v="0"/>
    <x v="2"/>
    <n v="92829"/>
    <s v="No"/>
    <s v="Yes"/>
    <d v="2020-08-20T00:00:00"/>
    <n v="3.7305555555555556"/>
  </r>
  <r>
    <n v="991"/>
    <x v="204"/>
    <x v="44"/>
    <x v="0"/>
    <x v="2"/>
    <n v="0.21"/>
    <x v="2"/>
    <n v="121513"/>
    <s v="No"/>
    <s v="No"/>
    <d v="2018-10-22T00:00:00"/>
    <n v="5.5583333333333336"/>
  </r>
  <r>
    <n v="992"/>
    <x v="205"/>
    <x v="18"/>
    <x v="5"/>
    <x v="5"/>
    <n v="0.68"/>
    <x v="4"/>
    <n v="199076"/>
    <s v="No"/>
    <s v="Yes"/>
    <d v="2018-11-21T00:00:00"/>
    <n v="5.4777777777777779"/>
  </r>
  <r>
    <n v="993"/>
    <x v="79"/>
    <x v="23"/>
    <x v="4"/>
    <x v="3"/>
    <n v="0"/>
    <x v="4"/>
    <n v="84697"/>
    <s v="Yes"/>
    <s v="Yes"/>
    <d v="2018-05-09T00:00:00"/>
    <n v="6.0111111111111111"/>
  </r>
  <r>
    <n v="994"/>
    <x v="206"/>
    <x v="31"/>
    <x v="4"/>
    <x v="1"/>
    <n v="0.56000000000000005"/>
    <x v="2"/>
    <n v="61313"/>
    <s v="No"/>
    <s v="No"/>
    <d v="2020-10-07T00:00:00"/>
    <n v="3.6"/>
  </r>
  <r>
    <n v="995"/>
    <x v="207"/>
    <x v="22"/>
    <x v="2"/>
    <x v="2"/>
    <n v="0.28000000000000003"/>
    <x v="2"/>
    <n v="261553"/>
    <s v="No"/>
    <s v="No"/>
    <d v="2020-01-22T00:00:00"/>
    <n v="4.3083333333333336"/>
  </r>
  <r>
    <n v="996"/>
    <x v="208"/>
    <x v="40"/>
    <x v="0"/>
    <x v="3"/>
    <n v="0"/>
    <x v="0"/>
    <n v="145573"/>
    <s v="No"/>
    <s v="No"/>
    <d v="2020-02-09T00:00:00"/>
    <n v="4.2611111111111111"/>
  </r>
  <r>
    <n v="997"/>
    <x v="209"/>
    <x v="13"/>
    <x v="5"/>
    <x v="7"/>
    <n v="0.66"/>
    <x v="4"/>
    <n v="208015"/>
    <s v="No"/>
    <s v="Yes"/>
    <d v="2017-10-12T00:00:00"/>
    <n v="6.5861111111111112"/>
  </r>
  <r>
    <n v="998"/>
    <x v="210"/>
    <x v="30"/>
    <x v="5"/>
    <x v="7"/>
    <n v="0.39"/>
    <x v="1"/>
    <n v="190922"/>
    <s v="No"/>
    <s v="Yes"/>
    <d v="2019-11-24T00:00:00"/>
    <n v="4.4694444444444441"/>
  </r>
  <r>
    <n v="999"/>
    <x v="211"/>
    <x v="26"/>
    <x v="2"/>
    <x v="4"/>
    <n v="0.64"/>
    <x v="3"/>
    <n v="261979"/>
    <s v="Yes"/>
    <s v="Yes"/>
    <d v="2020-05-20T00:00:00"/>
    <n v="3.9805555555555556"/>
  </r>
  <r>
    <n v="1000"/>
    <x v="212"/>
    <x v="28"/>
    <x v="2"/>
    <x v="1"/>
    <n v="0.45"/>
    <x v="1"/>
    <n v="269833"/>
    <s v="No"/>
    <s v="No"/>
    <d v="2018-02-12T00:00:00"/>
    <n v="6.2527777777777782"/>
  </r>
  <r>
    <n v="1002"/>
    <x v="213"/>
    <x v="21"/>
    <x v="0"/>
    <x v="3"/>
    <n v="0"/>
    <x v="0"/>
    <n v="132381"/>
    <s v="No"/>
    <s v="No"/>
    <d v="2019-11-24T00:00:00"/>
    <n v="4.4694444444444441"/>
  </r>
  <r>
    <n v="1003"/>
    <x v="214"/>
    <x v="42"/>
    <x v="0"/>
    <x v="3"/>
    <n v="0"/>
    <x v="4"/>
    <n v="120409"/>
    <s v="No"/>
    <s v="Yes"/>
    <d v="2020-07-28T00:00:00"/>
    <n v="3.7916666666666665"/>
  </r>
  <r>
    <n v="1004"/>
    <x v="215"/>
    <x v="9"/>
    <x v="2"/>
    <x v="1"/>
    <n v="0.89"/>
    <x v="3"/>
    <n v="264373"/>
    <s v="No"/>
    <s v="Yes"/>
    <d v="2020-07-03T00:00:00"/>
    <n v="3.8611111111111112"/>
  </r>
  <r>
    <n v="1005"/>
    <x v="216"/>
    <x v="48"/>
    <x v="0"/>
    <x v="4"/>
    <n v="0.44"/>
    <x v="3"/>
    <n v="108516"/>
    <s v="No"/>
    <s v="Yes"/>
    <d v="2019-09-23T00:00:00"/>
    <n v="4.6388888888888893"/>
  </r>
  <r>
    <n v="1006"/>
    <x v="217"/>
    <x v="15"/>
    <x v="5"/>
    <x v="3"/>
    <n v="0"/>
    <x v="3"/>
    <n v="198253"/>
    <s v="No"/>
    <s v="Yes"/>
    <d v="2017-10-09T00:00:00"/>
    <n v="6.5944444444444441"/>
  </r>
  <r>
    <n v="1007"/>
    <x v="218"/>
    <x v="4"/>
    <x v="0"/>
    <x v="2"/>
    <n v="0.67"/>
    <x v="2"/>
    <n v="120724"/>
    <s v="No"/>
    <s v="Yes"/>
    <d v="2018-03-22T00:00:00"/>
    <n v="6.1416666666666666"/>
  </r>
  <r>
    <n v="1008"/>
    <x v="219"/>
    <x v="36"/>
    <x v="4"/>
    <x v="5"/>
    <n v="0.2"/>
    <x v="0"/>
    <n v="99424"/>
    <s v="No"/>
    <s v="No"/>
    <d v="2017-12-07T00:00:00"/>
    <n v="6.4333333333333336"/>
  </r>
  <r>
    <n v="1009"/>
    <x v="220"/>
    <x v="27"/>
    <x v="5"/>
    <x v="3"/>
    <n v="0"/>
    <x v="1"/>
    <n v="187600"/>
    <s v="No"/>
    <s v="Yes"/>
    <d v="2019-07-27T00:00:00"/>
    <n v="4.7944444444444443"/>
  </r>
  <r>
    <n v="1011"/>
    <x v="221"/>
    <x v="34"/>
    <x v="1"/>
    <x v="5"/>
    <n v="0.72"/>
    <x v="5"/>
    <n v="231996"/>
    <s v="No"/>
    <s v="Yes"/>
    <d v="2020-07-22T00:00:00"/>
    <n v="3.8083333333333331"/>
  </r>
  <r>
    <n v="1012"/>
    <x v="222"/>
    <x v="6"/>
    <x v="0"/>
    <x v="1"/>
    <n v="0.53"/>
    <x v="2"/>
    <n v="147128"/>
    <s v="No"/>
    <s v="Yes"/>
    <d v="2018-01-09T00:00:00"/>
    <n v="6.3444444444444441"/>
  </r>
  <r>
    <n v="1013"/>
    <x v="223"/>
    <x v="2"/>
    <x v="2"/>
    <x v="7"/>
    <n v="0.9"/>
    <x v="5"/>
    <n v="273913"/>
    <s v="No"/>
    <s v="Yes"/>
    <d v="2017-05-08T00:00:00"/>
    <n v="7.0138888888888893"/>
  </r>
  <r>
    <n v="1014"/>
    <x v="224"/>
    <x v="19"/>
    <x v="1"/>
    <x v="0"/>
    <n v="0.88"/>
    <x v="1"/>
    <n v="249296"/>
    <s v="No"/>
    <s v="Yes"/>
    <d v="2017-12-01T00:00:00"/>
    <n v="6.45"/>
  </r>
  <r>
    <n v="1015"/>
    <x v="225"/>
    <x v="17"/>
    <x v="0"/>
    <x v="2"/>
    <n v="0.63"/>
    <x v="4"/>
    <n v="112097"/>
    <s v="No"/>
    <s v="Yes"/>
    <d v="2019-09-08T00:00:00"/>
    <n v="4.6805555555555554"/>
  </r>
  <r>
    <n v="1016"/>
    <x v="226"/>
    <x v="47"/>
    <x v="1"/>
    <x v="5"/>
    <n v="0.75"/>
    <x v="3"/>
    <n v="238998"/>
    <s v="No"/>
    <s v="Yes"/>
    <d v="2018-07-25T00:00:00"/>
    <n v="5.8"/>
  </r>
  <r>
    <n v="1017"/>
    <x v="227"/>
    <x v="43"/>
    <x v="1"/>
    <x v="7"/>
    <n v="0.57999999999999996"/>
    <x v="4"/>
    <n v="247315"/>
    <s v="No"/>
    <s v="Yes"/>
    <d v="2017-05-22T00:00:00"/>
    <n v="6.9749999999999996"/>
  </r>
  <r>
    <n v="1018"/>
    <x v="228"/>
    <x v="37"/>
    <x v="5"/>
    <x v="0"/>
    <n v="0.35"/>
    <x v="5"/>
    <n v="186636"/>
    <s v="No"/>
    <s v="Yes"/>
    <d v="2019-09-11T00:00:00"/>
    <n v="4.6722222222222225"/>
  </r>
  <r>
    <n v="1019"/>
    <x v="229"/>
    <x v="24"/>
    <x v="2"/>
    <x v="5"/>
    <n v="0.83"/>
    <x v="1"/>
    <n v="271166"/>
    <s v="No"/>
    <s v="No"/>
    <d v="2020-02-12T00:00:00"/>
    <n v="4.2527777777777782"/>
  </r>
  <r>
    <n v="1020"/>
    <x v="230"/>
    <x v="0"/>
    <x v="0"/>
    <x v="4"/>
    <n v="0.31"/>
    <x v="4"/>
    <n v="132843"/>
    <s v="No"/>
    <s v="Yes"/>
    <d v="2019-05-25T00:00:00"/>
    <n v="4.9666666666666668"/>
  </r>
  <r>
    <n v="1022"/>
    <x v="231"/>
    <x v="20"/>
    <x v="4"/>
    <x v="2"/>
    <n v="0.56000000000000005"/>
    <x v="3"/>
    <n v="98418"/>
    <s v="No"/>
    <s v="Yes"/>
    <d v="2019-02-13T00:00:00"/>
    <n v="5.25"/>
  </r>
  <r>
    <n v="1023"/>
    <x v="232"/>
    <x v="5"/>
    <x v="1"/>
    <x v="0"/>
    <n v="0.26"/>
    <x v="1"/>
    <n v="232862"/>
    <s v="No"/>
    <s v="No"/>
    <d v="2019-07-16T00:00:00"/>
    <n v="4.8250000000000002"/>
  </r>
  <r>
    <n v="1026"/>
    <x v="233"/>
    <x v="16"/>
    <x v="1"/>
    <x v="3"/>
    <n v="0"/>
    <x v="0"/>
    <n v="246617"/>
    <s v="No"/>
    <s v="No"/>
    <d v="2018-03-03T00:00:00"/>
    <n v="6.1944444444444446"/>
  </r>
  <r>
    <n v="1027"/>
    <x v="234"/>
    <x v="8"/>
    <x v="2"/>
    <x v="6"/>
    <n v="0.34"/>
    <x v="5"/>
    <n v="272467"/>
    <s v="No"/>
    <s v="Yes"/>
    <d v="2019-12-29T00:00:00"/>
    <n v="4.3722222222222218"/>
  </r>
  <r>
    <n v="1028"/>
    <x v="235"/>
    <x v="29"/>
    <x v="0"/>
    <x v="3"/>
    <n v="0"/>
    <x v="0"/>
    <n v="104031"/>
    <s v="No"/>
    <s v="No"/>
    <d v="2017-11-10T00:00:00"/>
    <n v="6.5083333333333337"/>
  </r>
  <r>
    <n v="1029"/>
    <x v="161"/>
    <x v="40"/>
    <x v="0"/>
    <x v="3"/>
    <n v="0"/>
    <x v="0"/>
    <n v="138831"/>
    <s v="No"/>
    <s v="No"/>
    <d v="2020-01-18T00:00:00"/>
    <n v="4.3194444444444446"/>
  </r>
  <r>
    <n v="1030"/>
    <x v="236"/>
    <x v="34"/>
    <x v="1"/>
    <x v="0"/>
    <n v="0.43"/>
    <x v="1"/>
    <n v="248358"/>
    <s v="No"/>
    <s v="No"/>
    <d v="2017-08-27T00:00:00"/>
    <n v="6.7111111111111112"/>
  </r>
  <r>
    <n v="1031"/>
    <x v="237"/>
    <x v="12"/>
    <x v="0"/>
    <x v="5"/>
    <n v="0.34"/>
    <x v="2"/>
    <n v="116805"/>
    <s v="No"/>
    <s v="No"/>
    <d v="2020-01-08T00:00:00"/>
    <n v="4.3472222222222223"/>
  </r>
  <r>
    <n v="1032"/>
    <x v="143"/>
    <x v="15"/>
    <x v="4"/>
    <x v="4"/>
    <n v="0.5"/>
    <x v="2"/>
    <n v="92007"/>
    <s v="No"/>
    <s v="No"/>
    <d v="2020-04-08T00:00:00"/>
    <n v="4.0972222222222223"/>
  </r>
  <r>
    <n v="1033"/>
    <x v="238"/>
    <x v="5"/>
    <x v="2"/>
    <x v="7"/>
    <n v="0.76"/>
    <x v="2"/>
    <n v="270410"/>
    <s v="No"/>
    <s v="Yes"/>
    <d v="2020-05-10T00:00:00"/>
    <n v="4.0083333333333337"/>
  </r>
  <r>
    <n v="1034"/>
    <x v="239"/>
    <x v="14"/>
    <x v="5"/>
    <x v="2"/>
    <n v="0.81"/>
    <x v="1"/>
    <n v="181194"/>
    <s v="No"/>
    <s v="Yes"/>
    <d v="2019-01-16T00:00:00"/>
    <n v="5.3250000000000002"/>
  </r>
  <r>
    <n v="1035"/>
    <x v="240"/>
    <x v="44"/>
    <x v="0"/>
    <x v="6"/>
    <n v="0.53"/>
    <x v="1"/>
    <n v="128048"/>
    <s v="No"/>
    <s v="No"/>
    <d v="2017-07-22T00:00:00"/>
    <n v="6.8083333333333336"/>
  </r>
  <r>
    <n v="1036"/>
    <x v="241"/>
    <x v="42"/>
    <x v="5"/>
    <x v="4"/>
    <n v="0.74"/>
    <x v="3"/>
    <n v="197767"/>
    <s v="No"/>
    <s v="No"/>
    <d v="2020-04-21T00:00:00"/>
    <n v="4.0611111111111109"/>
  </r>
  <r>
    <n v="1037"/>
    <x v="242"/>
    <x v="31"/>
    <x v="5"/>
    <x v="2"/>
    <n v="0.88"/>
    <x v="2"/>
    <n v="192532"/>
    <s v="No"/>
    <s v="No"/>
    <d v="2020-07-22T00:00:00"/>
    <n v="3.8083333333333331"/>
  </r>
  <r>
    <n v="1038"/>
    <x v="243"/>
    <x v="8"/>
    <x v="4"/>
    <x v="0"/>
    <n v="0.31"/>
    <x v="0"/>
    <n v="69003"/>
    <s v="No"/>
    <s v="Yes"/>
    <d v="2018-04-08T00:00:00"/>
    <n v="6.0972222222222223"/>
  </r>
  <r>
    <n v="1039"/>
    <x v="244"/>
    <x v="45"/>
    <x v="2"/>
    <x v="0"/>
    <n v="0.5"/>
    <x v="4"/>
    <n v="274149"/>
    <s v="No"/>
    <s v="Yes"/>
    <d v="2020-05-25T00:00:00"/>
    <n v="3.9666666666666668"/>
  </r>
  <r>
    <n v="1040"/>
    <x v="245"/>
    <x v="43"/>
    <x v="5"/>
    <x v="0"/>
    <n v="0.34"/>
    <x v="0"/>
    <n v="189527"/>
    <s v="No"/>
    <s v="Yes"/>
    <d v="2019-09-06T00:00:00"/>
    <n v="4.6861111111111109"/>
  </r>
  <r>
    <n v="1041"/>
    <x v="246"/>
    <x v="22"/>
    <x v="5"/>
    <x v="0"/>
    <n v="0.65"/>
    <x v="0"/>
    <n v="184097"/>
    <s v="No"/>
    <s v="No"/>
    <d v="2019-08-18T00:00:00"/>
    <n v="4.7361111111111107"/>
  </r>
  <r>
    <n v="1043"/>
    <x v="184"/>
    <x v="13"/>
    <x v="1"/>
    <x v="0"/>
    <n v="0.48"/>
    <x v="3"/>
    <n v="226471"/>
    <s v="No"/>
    <s v="Yes"/>
    <d v="2019-01-28T00:00:00"/>
    <n v="5.291666666666667"/>
  </r>
  <r>
    <n v="1044"/>
    <x v="247"/>
    <x v="18"/>
    <x v="1"/>
    <x v="6"/>
    <n v="0.19"/>
    <x v="0"/>
    <n v="226896"/>
    <s v="No"/>
    <s v="No"/>
    <d v="2018-01-21T00:00:00"/>
    <n v="6.3111111111111109"/>
  </r>
  <r>
    <n v="1045"/>
    <x v="248"/>
    <x v="33"/>
    <x v="1"/>
    <x v="3"/>
    <n v="0"/>
    <x v="0"/>
    <n v="228468"/>
    <s v="No"/>
    <s v="Yes"/>
    <d v="2018-10-05T00:00:00"/>
    <n v="5.6055555555555552"/>
  </r>
  <r>
    <n v="1046"/>
    <x v="249"/>
    <x v="0"/>
    <x v="2"/>
    <x v="3"/>
    <n v="0"/>
    <x v="2"/>
    <n v="255349"/>
    <s v="No"/>
    <s v="Yes"/>
    <d v="2017-12-01T00:00:00"/>
    <n v="6.45"/>
  </r>
  <r>
    <n v="1047"/>
    <x v="250"/>
    <x v="4"/>
    <x v="2"/>
    <x v="5"/>
    <n v="0.41"/>
    <x v="1"/>
    <n v="259092"/>
    <s v="No"/>
    <s v="No"/>
    <d v="2018-02-23T00:00:00"/>
    <n v="6.2222222222222223"/>
  </r>
  <r>
    <n v="1050"/>
    <x v="251"/>
    <x v="38"/>
    <x v="2"/>
    <x v="1"/>
    <n v="0.15"/>
    <x v="1"/>
    <n v="256222"/>
    <s v="Yes"/>
    <s v="No"/>
    <d v="2018-08-05T00:00:00"/>
    <n v="5.7722222222222221"/>
  </r>
  <r>
    <n v="1051"/>
    <x v="252"/>
    <x v="47"/>
    <x v="2"/>
    <x v="5"/>
    <n v="0.92"/>
    <x v="0"/>
    <n v="255216"/>
    <s v="No"/>
    <s v="No"/>
    <d v="2020-03-25T00:00:00"/>
    <n v="4.1333333333333337"/>
  </r>
  <r>
    <n v="1052"/>
    <x v="253"/>
    <x v="28"/>
    <x v="1"/>
    <x v="5"/>
    <n v="0.36"/>
    <x v="5"/>
    <n v="246961"/>
    <s v="No"/>
    <s v="Yes"/>
    <d v="2019-08-16T00:00:00"/>
    <n v="4.7416666666666663"/>
  </r>
  <r>
    <n v="1053"/>
    <x v="254"/>
    <x v="48"/>
    <x v="1"/>
    <x v="1"/>
    <n v="0.32"/>
    <x v="2"/>
    <n v="222150"/>
    <s v="No"/>
    <s v="Yes"/>
    <d v="2020-07-15T00:00:00"/>
    <n v="3.8277777777777779"/>
  </r>
  <r>
    <n v="1054"/>
    <x v="255"/>
    <x v="3"/>
    <x v="0"/>
    <x v="3"/>
    <n v="0"/>
    <x v="3"/>
    <n v="125702"/>
    <s v="No"/>
    <s v="No"/>
    <d v="2019-03-30T00:00:00"/>
    <n v="5.1194444444444445"/>
  </r>
  <r>
    <n v="1055"/>
    <x v="256"/>
    <x v="17"/>
    <x v="2"/>
    <x v="6"/>
    <n v="0.55000000000000004"/>
    <x v="2"/>
    <n v="260131"/>
    <s v="Yes"/>
    <s v="No"/>
    <d v="2018-10-31T00:00:00"/>
    <n v="5.5361111111111114"/>
  </r>
  <r>
    <n v="1057"/>
    <x v="212"/>
    <x v="9"/>
    <x v="2"/>
    <x v="3"/>
    <n v="0"/>
    <x v="0"/>
    <n v="273897"/>
    <s v="No"/>
    <s v="Yes"/>
    <d v="2017-12-30T00:00:00"/>
    <n v="6.3694444444444445"/>
  </r>
  <r>
    <n v="1059"/>
    <x v="257"/>
    <x v="2"/>
    <x v="2"/>
    <x v="1"/>
    <n v="0.75"/>
    <x v="1"/>
    <n v="263888"/>
    <s v="No"/>
    <s v="Yes"/>
    <d v="2017-10-08T00:00:00"/>
    <n v="6.5972222222222223"/>
  </r>
  <r>
    <n v="1060"/>
    <x v="258"/>
    <x v="25"/>
    <x v="0"/>
    <x v="2"/>
    <n v="0.6"/>
    <x v="2"/>
    <n v="107136"/>
    <s v="No"/>
    <s v="No"/>
    <d v="2019-01-26T00:00:00"/>
    <n v="5.2972222222222225"/>
  </r>
  <r>
    <n v="1063"/>
    <x v="259"/>
    <x v="6"/>
    <x v="4"/>
    <x v="4"/>
    <n v="0.69"/>
    <x v="2"/>
    <n v="77719"/>
    <s v="No"/>
    <s v="No"/>
    <d v="2020-11-24T00:00:00"/>
    <n v="3.4694444444444446"/>
  </r>
  <r>
    <n v="1064"/>
    <x v="93"/>
    <x v="27"/>
    <x v="2"/>
    <x v="3"/>
    <n v="0"/>
    <x v="4"/>
    <n v="257046"/>
    <s v="No"/>
    <s v="Yes"/>
    <d v="2019-04-25T00:00:00"/>
    <n v="5.05"/>
  </r>
  <r>
    <n v="1066"/>
    <x v="260"/>
    <x v="21"/>
    <x v="0"/>
    <x v="4"/>
    <n v="0.36"/>
    <x v="1"/>
    <n v="141272"/>
    <s v="No"/>
    <s v="No"/>
    <d v="2019-12-08T00:00:00"/>
    <n v="4.4305555555555554"/>
  </r>
  <r>
    <n v="1067"/>
    <x v="261"/>
    <x v="7"/>
    <x v="5"/>
    <x v="5"/>
    <n v="0.82"/>
    <x v="3"/>
    <n v="192929"/>
    <s v="No"/>
    <s v="No"/>
    <d v="2017-09-13T00:00:00"/>
    <n v="6.666666666666667"/>
  </r>
  <r>
    <n v="1069"/>
    <x v="262"/>
    <x v="16"/>
    <x v="1"/>
    <x v="1"/>
    <n v="0.69"/>
    <x v="5"/>
    <n v="223209"/>
    <s v="No"/>
    <s v="Yes"/>
    <d v="2020-09-24T00:00:00"/>
    <n v="3.6361111111111111"/>
  </r>
  <r>
    <n v="1070"/>
    <x v="263"/>
    <x v="24"/>
    <x v="2"/>
    <x v="0"/>
    <n v="0.82"/>
    <x v="0"/>
    <n v="274402"/>
    <s v="Yes"/>
    <s v="No"/>
    <d v="2018-03-10T00:00:00"/>
    <n v="6.1749999999999998"/>
  </r>
  <r>
    <n v="1071"/>
    <x v="264"/>
    <x v="36"/>
    <x v="1"/>
    <x v="7"/>
    <n v="0.99"/>
    <x v="1"/>
    <n v="231552"/>
    <s v="No"/>
    <s v="No"/>
    <d v="2020-02-24T00:00:00"/>
    <n v="4.2194444444444441"/>
  </r>
  <r>
    <n v="1072"/>
    <x v="250"/>
    <x v="46"/>
    <x v="2"/>
    <x v="6"/>
    <n v="0.93"/>
    <x v="3"/>
    <n v="262922"/>
    <s v="No"/>
    <s v="Yes"/>
    <d v="2017-06-29T00:00:00"/>
    <n v="6.8722222222222218"/>
  </r>
  <r>
    <n v="1073"/>
    <x v="265"/>
    <x v="20"/>
    <x v="4"/>
    <x v="7"/>
    <n v="0.22"/>
    <x v="0"/>
    <n v="79003"/>
    <s v="No"/>
    <s v="No"/>
    <d v="2018-08-29T00:00:00"/>
    <n v="5.7055555555555557"/>
  </r>
  <r>
    <n v="1074"/>
    <x v="266"/>
    <x v="39"/>
    <x v="0"/>
    <x v="1"/>
    <n v="0.56000000000000005"/>
    <x v="5"/>
    <n v="119151"/>
    <s v="No"/>
    <s v="Yes"/>
    <d v="2018-10-20T00:00:00"/>
    <n v="5.5638888888888891"/>
  </r>
  <r>
    <n v="1076"/>
    <x v="267"/>
    <x v="41"/>
    <x v="5"/>
    <x v="1"/>
    <n v="0.36"/>
    <x v="3"/>
    <n v="192175"/>
    <s v="No"/>
    <s v="No"/>
    <d v="2018-08-05T00:00:00"/>
    <n v="5.7722222222222221"/>
  </r>
  <r>
    <n v="1077"/>
    <x v="235"/>
    <x v="11"/>
    <x v="2"/>
    <x v="1"/>
    <n v="0.37"/>
    <x v="4"/>
    <n v="251678"/>
    <s v="No"/>
    <s v="Yes"/>
    <d v="2018-02-19T00:00:00"/>
    <n v="6.2333333333333334"/>
  </r>
  <r>
    <n v="1079"/>
    <x v="268"/>
    <x v="26"/>
    <x v="2"/>
    <x v="7"/>
    <n v="0.92"/>
    <x v="0"/>
    <n v="255296"/>
    <s v="No"/>
    <s v="Yes"/>
    <d v="2018-11-19T00:00:00"/>
    <n v="5.4833333333333334"/>
  </r>
  <r>
    <n v="1080"/>
    <x v="269"/>
    <x v="19"/>
    <x v="1"/>
    <x v="6"/>
    <n v="0.87"/>
    <x v="0"/>
    <n v="233298"/>
    <s v="No"/>
    <s v="No"/>
    <d v="2020-06-28T00:00:00"/>
    <n v="3.875"/>
  </r>
  <r>
    <n v="1081"/>
    <x v="270"/>
    <x v="10"/>
    <x v="0"/>
    <x v="0"/>
    <n v="0.43"/>
    <x v="1"/>
    <n v="119832"/>
    <s v="No"/>
    <s v="No"/>
    <d v="2020-02-12T00:00:00"/>
    <n v="4.2527777777777782"/>
  </r>
  <r>
    <n v="1082"/>
    <x v="3"/>
    <x v="35"/>
    <x v="5"/>
    <x v="4"/>
    <n v="0.08"/>
    <x v="1"/>
    <n v="206733"/>
    <s v="No"/>
    <s v="No"/>
    <d v="2017-05-12T00:00:00"/>
    <n v="7.0027777777777782"/>
  </r>
  <r>
    <n v="1083"/>
    <x v="271"/>
    <x v="29"/>
    <x v="0"/>
    <x v="5"/>
    <n v="0.94"/>
    <x v="1"/>
    <n v="141062"/>
    <s v="No"/>
    <s v="Yes"/>
    <d v="2019-08-09T00:00:00"/>
    <n v="4.7611111111111111"/>
  </r>
  <r>
    <n v="1084"/>
    <x v="272"/>
    <x v="49"/>
    <x v="0"/>
    <x v="5"/>
    <n v="0.51"/>
    <x v="3"/>
    <n v="127975"/>
    <s v="No"/>
    <s v="Yes"/>
    <d v="2020-04-24T00:00:00"/>
    <n v="4.052777777777778"/>
  </r>
  <r>
    <n v="1085"/>
    <x v="273"/>
    <x v="37"/>
    <x v="0"/>
    <x v="1"/>
    <n v="0.92"/>
    <x v="3"/>
    <n v="139230"/>
    <s v="No"/>
    <s v="No"/>
    <d v="2019-04-23T00:00:00"/>
    <n v="5.0555555555555554"/>
  </r>
  <r>
    <n v="1086"/>
    <x v="59"/>
    <x v="1"/>
    <x v="0"/>
    <x v="5"/>
    <n v="0.92"/>
    <x v="1"/>
    <n v="139443"/>
    <s v="No"/>
    <s v="Yes"/>
    <d v="2018-12-14T00:00:00"/>
    <n v="5.4138888888888888"/>
  </r>
  <r>
    <n v="1087"/>
    <x v="274"/>
    <x v="32"/>
    <x v="0"/>
    <x v="6"/>
    <n v="0.73"/>
    <x v="2"/>
    <n v="135137"/>
    <s v="No"/>
    <s v="No"/>
    <d v="2017-12-16T00:00:00"/>
    <n v="6.4083333333333332"/>
  </r>
  <r>
    <n v="1088"/>
    <x v="275"/>
    <x v="23"/>
    <x v="0"/>
    <x v="0"/>
    <n v="0.93"/>
    <x v="0"/>
    <n v="147474"/>
    <s v="No"/>
    <s v="No"/>
    <d v="2020-05-11T00:00:00"/>
    <n v="4.0055555555555555"/>
  </r>
  <r>
    <n v="1089"/>
    <x v="276"/>
    <x v="6"/>
    <x v="1"/>
    <x v="7"/>
    <n v="0.81"/>
    <x v="3"/>
    <n v="234928"/>
    <s v="No"/>
    <s v="Yes"/>
    <d v="2019-07-07T00:00:00"/>
    <n v="4.8499999999999996"/>
  </r>
  <r>
    <n v="1090"/>
    <x v="219"/>
    <x v="5"/>
    <x v="1"/>
    <x v="6"/>
    <n v="0.48"/>
    <x v="3"/>
    <n v="225108"/>
    <s v="No"/>
    <s v="No"/>
    <d v="2020-04-13T00:00:00"/>
    <n v="4.083333333333333"/>
  </r>
  <r>
    <n v="1091"/>
    <x v="277"/>
    <x v="45"/>
    <x v="4"/>
    <x v="3"/>
    <n v="0"/>
    <x v="1"/>
    <n v="64431"/>
    <s v="No"/>
    <s v="No"/>
    <d v="2019-11-18T00:00:00"/>
    <n v="4.4861111111111107"/>
  </r>
  <r>
    <n v="1092"/>
    <x v="278"/>
    <x v="49"/>
    <x v="5"/>
    <x v="5"/>
    <n v="0.88"/>
    <x v="3"/>
    <n v="205063"/>
    <s v="No"/>
    <s v="Yes"/>
    <d v="2017-12-16T00:00:00"/>
    <n v="6.4083333333333332"/>
  </r>
  <r>
    <n v="1093"/>
    <x v="279"/>
    <x v="41"/>
    <x v="2"/>
    <x v="6"/>
    <n v="0.96"/>
    <x v="1"/>
    <n v="257825"/>
    <s v="No"/>
    <s v="No"/>
    <d v="2020-07-15T00:00:00"/>
    <n v="3.8277777777777779"/>
  </r>
  <r>
    <n v="1094"/>
    <x v="280"/>
    <x v="36"/>
    <x v="1"/>
    <x v="6"/>
    <n v="0.82"/>
    <x v="3"/>
    <n v="249337"/>
    <s v="No"/>
    <s v="No"/>
    <d v="2017-08-08T00:00:00"/>
    <n v="6.7638888888888893"/>
  </r>
  <r>
    <n v="1095"/>
    <x v="281"/>
    <x v="37"/>
    <x v="5"/>
    <x v="6"/>
    <n v="0.63"/>
    <x v="1"/>
    <n v="181695"/>
    <s v="No"/>
    <s v="No"/>
    <d v="2020-07-16T00:00:00"/>
    <n v="3.8250000000000002"/>
  </r>
  <r>
    <n v="1097"/>
    <x v="282"/>
    <x v="43"/>
    <x v="5"/>
    <x v="7"/>
    <n v="0.33"/>
    <x v="0"/>
    <n v="208889"/>
    <s v="No"/>
    <s v="Yes"/>
    <d v="2017-12-25T00:00:00"/>
    <n v="6.3833333333333337"/>
  </r>
  <r>
    <n v="1098"/>
    <x v="283"/>
    <x v="11"/>
    <x v="1"/>
    <x v="1"/>
    <n v="0.98"/>
    <x v="1"/>
    <n v="242742"/>
    <s v="No"/>
    <s v="No"/>
    <d v="2019-07-19T00:00:00"/>
    <n v="4.8166666666666664"/>
  </r>
  <r>
    <n v="1099"/>
    <x v="284"/>
    <x v="44"/>
    <x v="0"/>
    <x v="3"/>
    <n v="0"/>
    <x v="2"/>
    <n v="144804"/>
    <s v="No"/>
    <s v="Yes"/>
    <d v="2020-03-17T00:00:00"/>
    <n v="4.1555555555555559"/>
  </r>
  <r>
    <n v="1100"/>
    <x v="285"/>
    <x v="18"/>
    <x v="0"/>
    <x v="0"/>
    <n v="0.87"/>
    <x v="3"/>
    <n v="133659"/>
    <s v="No"/>
    <s v="No"/>
    <d v="2018-01-23T00:00:00"/>
    <n v="6.3055555555555554"/>
  </r>
  <r>
    <n v="1101"/>
    <x v="173"/>
    <x v="23"/>
    <x v="0"/>
    <x v="5"/>
    <n v="0.26"/>
    <x v="3"/>
    <n v="117377"/>
    <s v="No"/>
    <s v="No"/>
    <d v="2018-03-27T00:00:00"/>
    <n v="6.1277777777777782"/>
  </r>
  <r>
    <n v="1102"/>
    <x v="286"/>
    <x v="31"/>
    <x v="1"/>
    <x v="3"/>
    <n v="0"/>
    <x v="0"/>
    <n v="241685"/>
    <s v="No"/>
    <s v="No"/>
    <d v="2018-03-05T00:00:00"/>
    <n v="6.1888888888888891"/>
  </r>
  <r>
    <n v="1103"/>
    <x v="287"/>
    <x v="22"/>
    <x v="4"/>
    <x v="1"/>
    <n v="0.7"/>
    <x v="3"/>
    <n v="90842"/>
    <s v="No"/>
    <s v="Yes"/>
    <d v="2018-02-09T00:00:00"/>
    <n v="6.2611111111111111"/>
  </r>
  <r>
    <n v="1104"/>
    <x v="288"/>
    <x v="40"/>
    <x v="1"/>
    <x v="7"/>
    <n v="0.63"/>
    <x v="1"/>
    <n v="239485"/>
    <s v="No"/>
    <s v="Yes"/>
    <d v="2019-06-25T00:00:00"/>
    <n v="4.8833333333333337"/>
  </r>
  <r>
    <n v="1105"/>
    <x v="289"/>
    <x v="13"/>
    <x v="0"/>
    <x v="5"/>
    <n v="0.15"/>
    <x v="0"/>
    <n v="103571"/>
    <s v="No"/>
    <s v="No"/>
    <d v="2018-04-22T00:00:00"/>
    <n v="6.0583333333333336"/>
  </r>
  <r>
    <n v="1106"/>
    <x v="290"/>
    <x v="30"/>
    <x v="1"/>
    <x v="6"/>
    <n v="0.6"/>
    <x v="2"/>
    <n v="227357"/>
    <s v="No"/>
    <s v="Yes"/>
    <d v="2019-08-10T00:00:00"/>
    <n v="4.7583333333333337"/>
  </r>
  <r>
    <n v="1108"/>
    <x v="291"/>
    <x v="26"/>
    <x v="5"/>
    <x v="6"/>
    <n v="0.95"/>
    <x v="0"/>
    <n v="206068"/>
    <s v="No"/>
    <s v="No"/>
    <d v="2018-08-10T00:00:00"/>
    <n v="5.7583333333333337"/>
  </r>
  <r>
    <n v="1110"/>
    <x v="292"/>
    <x v="28"/>
    <x v="4"/>
    <x v="0"/>
    <n v="0.23"/>
    <x v="2"/>
    <n v="75752"/>
    <s v="No"/>
    <s v="No"/>
    <d v="2018-06-24T00:00:00"/>
    <n v="5.8861111111111111"/>
  </r>
  <r>
    <n v="1111"/>
    <x v="293"/>
    <x v="21"/>
    <x v="0"/>
    <x v="1"/>
    <n v="0.1"/>
    <x v="3"/>
    <n v="133416"/>
    <s v="No"/>
    <s v="No"/>
    <d v="2019-05-28T00:00:00"/>
    <n v="4.958333333333333"/>
  </r>
  <r>
    <n v="1112"/>
    <x v="294"/>
    <x v="42"/>
    <x v="1"/>
    <x v="5"/>
    <n v="0.7"/>
    <x v="1"/>
    <n v="241192"/>
    <s v="No"/>
    <s v="No"/>
    <d v="2017-06-22T00:00:00"/>
    <n v="6.8916666666666666"/>
  </r>
  <r>
    <n v="1113"/>
    <x v="188"/>
    <x v="9"/>
    <x v="2"/>
    <x v="4"/>
    <n v="0.48"/>
    <x v="2"/>
    <n v="271115"/>
    <s v="No"/>
    <s v="Yes"/>
    <d v="2018-10-28T00:00:00"/>
    <n v="5.541666666666667"/>
  </r>
  <r>
    <n v="1114"/>
    <x v="295"/>
    <x v="48"/>
    <x v="2"/>
    <x v="1"/>
    <n v="0.28999999999999998"/>
    <x v="0"/>
    <n v="270976"/>
    <s v="No"/>
    <s v="No"/>
    <d v="2019-04-29T00:00:00"/>
    <n v="5.0388888888888888"/>
  </r>
  <r>
    <n v="1115"/>
    <x v="37"/>
    <x v="15"/>
    <x v="5"/>
    <x v="7"/>
    <n v="0.48"/>
    <x v="5"/>
    <n v="203355"/>
    <s v="No"/>
    <s v="Yes"/>
    <d v="2019-12-14T00:00:00"/>
    <n v="4.4138888888888888"/>
  </r>
  <r>
    <n v="1117"/>
    <x v="296"/>
    <x v="4"/>
    <x v="4"/>
    <x v="5"/>
    <n v="0.69"/>
    <x v="5"/>
    <n v="95404"/>
    <s v="No"/>
    <s v="Yes"/>
    <d v="2020-08-12T00:00:00"/>
    <n v="3.7527777777777778"/>
  </r>
  <r>
    <n v="1118"/>
    <x v="297"/>
    <x v="36"/>
    <x v="5"/>
    <x v="1"/>
    <n v="0.45"/>
    <x v="3"/>
    <n v="202550"/>
    <s v="No"/>
    <s v="No"/>
    <d v="2017-08-29T00:00:00"/>
    <n v="6.7055555555555557"/>
  </r>
  <r>
    <n v="1119"/>
    <x v="298"/>
    <x v="27"/>
    <x v="2"/>
    <x v="3"/>
    <n v="0"/>
    <x v="1"/>
    <n v="274837"/>
    <s v="No"/>
    <s v="No"/>
    <d v="2017-10-15T00:00:00"/>
    <n v="6.5777777777777775"/>
  </r>
  <r>
    <n v="1120"/>
    <x v="173"/>
    <x v="34"/>
    <x v="2"/>
    <x v="1"/>
    <n v="0.49"/>
    <x v="1"/>
    <n v="251696"/>
    <s v="No"/>
    <s v="Yes"/>
    <d v="2019-12-12T00:00:00"/>
    <n v="4.4194444444444443"/>
  </r>
  <r>
    <n v="1121"/>
    <x v="299"/>
    <x v="6"/>
    <x v="1"/>
    <x v="7"/>
    <n v="0.48"/>
    <x v="3"/>
    <n v="234292"/>
    <s v="No"/>
    <s v="No"/>
    <d v="2019-11-16T00:00:00"/>
    <n v="4.4916666666666663"/>
  </r>
  <r>
    <n v="1122"/>
    <x v="275"/>
    <x v="2"/>
    <x v="5"/>
    <x v="2"/>
    <n v="0.76"/>
    <x v="5"/>
    <n v="191431"/>
    <s v="No"/>
    <s v="Yes"/>
    <d v="2018-07-29T00:00:00"/>
    <n v="5.7888888888888888"/>
  </r>
  <r>
    <n v="1123"/>
    <x v="300"/>
    <x v="19"/>
    <x v="1"/>
    <x v="2"/>
    <n v="0.25"/>
    <x v="0"/>
    <n v="237922"/>
    <s v="No"/>
    <s v="No"/>
    <d v="2017-12-28T00:00:00"/>
    <n v="6.375"/>
  </r>
  <r>
    <n v="1124"/>
    <x v="301"/>
    <x v="17"/>
    <x v="2"/>
    <x v="6"/>
    <n v="0.48"/>
    <x v="0"/>
    <n v="271851"/>
    <s v="No"/>
    <s v="No"/>
    <d v="2017-10-20T00:00:00"/>
    <n v="6.5638888888888891"/>
  </r>
  <r>
    <n v="1125"/>
    <x v="302"/>
    <x v="47"/>
    <x v="2"/>
    <x v="2"/>
    <n v="0.18"/>
    <x v="0"/>
    <n v="267952"/>
    <s v="No"/>
    <s v="No"/>
    <d v="2018-10-12T00:00:00"/>
    <n v="5.5861111111111112"/>
  </r>
  <r>
    <n v="1126"/>
    <x v="303"/>
    <x v="43"/>
    <x v="1"/>
    <x v="4"/>
    <n v="0.25"/>
    <x v="0"/>
    <n v="239394"/>
    <s v="No"/>
    <s v="No"/>
    <d v="2020-09-26T00:00:00"/>
    <n v="3.6305555555555555"/>
  </r>
  <r>
    <n v="1127"/>
    <x v="304"/>
    <x v="37"/>
    <x v="2"/>
    <x v="3"/>
    <n v="0"/>
    <x v="1"/>
    <n v="254582"/>
    <s v="No"/>
    <s v="No"/>
    <d v="2019-12-22T00:00:00"/>
    <n v="4.3916666666666666"/>
  </r>
  <r>
    <n v="1128"/>
    <x v="143"/>
    <x v="24"/>
    <x v="1"/>
    <x v="7"/>
    <n v="0.32"/>
    <x v="3"/>
    <n v="234584"/>
    <s v="No"/>
    <s v="No"/>
    <d v="2019-03-28T00:00:00"/>
    <n v="5.125"/>
  </r>
  <r>
    <n v="1129"/>
    <x v="305"/>
    <x v="0"/>
    <x v="0"/>
    <x v="4"/>
    <n v="0.5"/>
    <x v="2"/>
    <n v="117704"/>
    <s v="No"/>
    <s v="Yes"/>
    <d v="2018-12-19T00:00:00"/>
    <n v="5.4"/>
  </r>
  <r>
    <n v="1131"/>
    <x v="306"/>
    <x v="20"/>
    <x v="1"/>
    <x v="0"/>
    <n v="0.28999999999999998"/>
    <x v="0"/>
    <n v="222891"/>
    <s v="No"/>
    <s v="No"/>
    <d v="2017-11-12T00:00:00"/>
    <n v="6.5027777777777782"/>
  </r>
  <r>
    <n v="1133"/>
    <x v="307"/>
    <x v="5"/>
    <x v="2"/>
    <x v="1"/>
    <n v="0.42"/>
    <x v="2"/>
    <n v="271368"/>
    <s v="No"/>
    <s v="No"/>
    <d v="2020-10-31T00:00:00"/>
    <n v="3.536111111111111"/>
  </r>
  <r>
    <n v="1134"/>
    <x v="308"/>
    <x v="16"/>
    <x v="0"/>
    <x v="6"/>
    <n v="0.1"/>
    <x v="1"/>
    <n v="107126"/>
    <s v="No"/>
    <s v="No"/>
    <d v="2017-07-05T00:00:00"/>
    <n v="6.8555555555555552"/>
  </r>
  <r>
    <n v="1135"/>
    <x v="309"/>
    <x v="8"/>
    <x v="1"/>
    <x v="2"/>
    <n v="0.8"/>
    <x v="2"/>
    <n v="241447"/>
    <s v="No"/>
    <s v="No"/>
    <d v="2018-11-12T00:00:00"/>
    <n v="5.5027777777777782"/>
  </r>
  <r>
    <n v="1136"/>
    <x v="269"/>
    <x v="29"/>
    <x v="2"/>
    <x v="0"/>
    <n v="0.66"/>
    <x v="2"/>
    <n v="273540"/>
    <s v="No"/>
    <s v="No"/>
    <d v="2019-11-27T00:00:00"/>
    <n v="4.4611111111111112"/>
  </r>
  <r>
    <n v="1138"/>
    <x v="310"/>
    <x v="40"/>
    <x v="1"/>
    <x v="6"/>
    <n v="0.3"/>
    <x v="1"/>
    <n v="244324"/>
    <s v="No"/>
    <s v="Yes"/>
    <d v="2019-02-28T00:00:00"/>
    <n v="5.2027777777777775"/>
  </r>
  <r>
    <n v="1139"/>
    <x v="311"/>
    <x v="34"/>
    <x v="2"/>
    <x v="5"/>
    <n v="0.85"/>
    <x v="1"/>
    <n v="259469"/>
    <s v="No"/>
    <s v="Yes"/>
    <d v="2017-10-27T00:00:00"/>
    <n v="6.5444444444444443"/>
  </r>
  <r>
    <n v="1140"/>
    <x v="312"/>
    <x v="12"/>
    <x v="5"/>
    <x v="2"/>
    <n v="0.51"/>
    <x v="1"/>
    <n v="186108"/>
    <s v="No"/>
    <s v="Yes"/>
    <d v="2020-04-22T00:00:00"/>
    <n v="4.0583333333333336"/>
  </r>
  <r>
    <n v="1141"/>
    <x v="49"/>
    <x v="15"/>
    <x v="2"/>
    <x v="5"/>
    <n v="0.99"/>
    <x v="0"/>
    <n v="269210"/>
    <s v="No"/>
    <s v="No"/>
    <d v="2020-12-24T00:00:00"/>
    <n v="3.3861111111111111"/>
  </r>
  <r>
    <n v="1142"/>
    <x v="313"/>
    <x v="5"/>
    <x v="1"/>
    <x v="7"/>
    <n v="0.69"/>
    <x v="1"/>
    <n v="230499"/>
    <s v="No"/>
    <s v="No"/>
    <d v="2017-07-17T00:00:00"/>
    <n v="6.822222222222222"/>
  </r>
  <r>
    <n v="1143"/>
    <x v="314"/>
    <x v="14"/>
    <x v="4"/>
    <x v="5"/>
    <n v="0.4"/>
    <x v="4"/>
    <n v="91979"/>
    <s v="No"/>
    <s v="Yes"/>
    <d v="2017-12-20T00:00:00"/>
    <n v="6.3972222222222221"/>
  </r>
  <r>
    <n v="1145"/>
    <x v="315"/>
    <x v="44"/>
    <x v="4"/>
    <x v="6"/>
    <n v="0.92"/>
    <x v="3"/>
    <n v="88786"/>
    <s v="No"/>
    <s v="No"/>
    <d v="2018-11-14T00:00:00"/>
    <n v="5.4972222222222218"/>
  </r>
  <r>
    <n v="1148"/>
    <x v="248"/>
    <x v="42"/>
    <x v="1"/>
    <x v="0"/>
    <n v="0.9"/>
    <x v="3"/>
    <n v="229378"/>
    <s v="No"/>
    <s v="No"/>
    <d v="2019-05-04T00:00:00"/>
    <n v="5.0250000000000004"/>
  </r>
  <r>
    <n v="1149"/>
    <x v="316"/>
    <x v="31"/>
    <x v="2"/>
    <x v="6"/>
    <n v="0.35"/>
    <x v="4"/>
    <n v="254644"/>
    <s v="No"/>
    <s v="Yes"/>
    <d v="2020-07-11T00:00:00"/>
    <n v="3.838888888888889"/>
  </r>
  <r>
    <n v="1150"/>
    <x v="188"/>
    <x v="8"/>
    <x v="5"/>
    <x v="2"/>
    <n v="0.4"/>
    <x v="3"/>
    <n v="181722"/>
    <s v="No"/>
    <s v="Yes"/>
    <d v="2019-11-15T00:00:00"/>
    <n v="4.4944444444444445"/>
  </r>
  <r>
    <n v="1151"/>
    <x v="305"/>
    <x v="45"/>
    <x v="0"/>
    <x v="4"/>
    <n v="0.49"/>
    <x v="0"/>
    <n v="113239"/>
    <s v="No"/>
    <s v="Yes"/>
    <d v="2017-06-16T00:00:00"/>
    <n v="6.9083333333333332"/>
  </r>
  <r>
    <n v="1152"/>
    <x v="317"/>
    <x v="43"/>
    <x v="0"/>
    <x v="7"/>
    <n v="0.98"/>
    <x v="5"/>
    <n v="122694"/>
    <s v="No"/>
    <s v="Yes"/>
    <d v="2017-08-13T00:00:00"/>
    <n v="6.75"/>
  </r>
  <r>
    <n v="1153"/>
    <x v="318"/>
    <x v="22"/>
    <x v="1"/>
    <x v="6"/>
    <n v="0.27"/>
    <x v="2"/>
    <n v="245302"/>
    <s v="No"/>
    <s v="No"/>
    <d v="2018-07-05T00:00:00"/>
    <n v="5.8555555555555552"/>
  </r>
  <r>
    <n v="1154"/>
    <x v="319"/>
    <x v="13"/>
    <x v="1"/>
    <x v="2"/>
    <n v="0.73"/>
    <x v="3"/>
    <n v="224857"/>
    <s v="No"/>
    <s v="Yes"/>
    <d v="2020-02-15T00:00:00"/>
    <n v="4.2444444444444445"/>
  </r>
  <r>
    <n v="1155"/>
    <x v="235"/>
    <x v="18"/>
    <x v="5"/>
    <x v="2"/>
    <n v="0.46"/>
    <x v="4"/>
    <n v="183737"/>
    <s v="No"/>
    <s v="Yes"/>
    <d v="2019-09-11T00:00:00"/>
    <n v="4.6722222222222225"/>
  </r>
  <r>
    <n v="1156"/>
    <x v="320"/>
    <x v="33"/>
    <x v="4"/>
    <x v="6"/>
    <n v="0.76"/>
    <x v="1"/>
    <n v="81738"/>
    <s v="No"/>
    <s v="Yes"/>
    <d v="2019-04-11T00:00:00"/>
    <n v="5.0888888888888886"/>
  </r>
  <r>
    <n v="1157"/>
    <x v="321"/>
    <x v="0"/>
    <x v="5"/>
    <x v="5"/>
    <n v="0.65"/>
    <x v="4"/>
    <n v="183788"/>
    <s v="No"/>
    <s v="Yes"/>
    <d v="2020-04-15T00:00:00"/>
    <n v="4.0777777777777775"/>
  </r>
  <r>
    <n v="1158"/>
    <x v="322"/>
    <x v="4"/>
    <x v="1"/>
    <x v="3"/>
    <n v="0"/>
    <x v="3"/>
    <n v="238415"/>
    <s v="No"/>
    <s v="No"/>
    <d v="2020-03-07T00:00:00"/>
    <n v="4.1833333333333336"/>
  </r>
  <r>
    <n v="1159"/>
    <x v="184"/>
    <x v="38"/>
    <x v="1"/>
    <x v="2"/>
    <n v="0.79"/>
    <x v="1"/>
    <n v="241027"/>
    <s v="No"/>
    <s v="No"/>
    <d v="2020-06-18T00:00:00"/>
    <n v="3.9027777777777777"/>
  </r>
  <r>
    <n v="1160"/>
    <x v="203"/>
    <x v="47"/>
    <x v="5"/>
    <x v="7"/>
    <n v="0.11"/>
    <x v="0"/>
    <n v="182326"/>
    <s v="No"/>
    <s v="No"/>
    <d v="2019-06-08T00:00:00"/>
    <n v="4.9305555555555554"/>
  </r>
  <r>
    <n v="1161"/>
    <x v="204"/>
    <x v="28"/>
    <x v="5"/>
    <x v="4"/>
    <n v="0.14000000000000001"/>
    <x v="0"/>
    <n v="202701"/>
    <s v="No"/>
    <s v="No"/>
    <d v="2019-03-03T00:00:00"/>
    <n v="5.1944444444444446"/>
  </r>
  <r>
    <n v="1162"/>
    <x v="323"/>
    <x v="48"/>
    <x v="2"/>
    <x v="4"/>
    <n v="0.8"/>
    <x v="2"/>
    <n v="271138"/>
    <s v="No"/>
    <s v="No"/>
    <d v="2019-02-09T00:00:00"/>
    <n v="5.2611111111111111"/>
  </r>
  <r>
    <n v="1163"/>
    <x v="171"/>
    <x v="3"/>
    <x v="0"/>
    <x v="5"/>
    <n v="0.79"/>
    <x v="1"/>
    <n v="120436"/>
    <s v="No"/>
    <s v="No"/>
    <d v="2019-10-19T00:00:00"/>
    <n v="4.5666666666666664"/>
  </r>
  <r>
    <n v="1164"/>
    <x v="324"/>
    <x v="17"/>
    <x v="5"/>
    <x v="4"/>
    <n v="0.05"/>
    <x v="3"/>
    <n v="198849"/>
    <s v="No"/>
    <s v="No"/>
    <d v="2020-07-08T00:00:00"/>
    <n v="3.8472222222222223"/>
  </r>
  <r>
    <n v="1167"/>
    <x v="269"/>
    <x v="9"/>
    <x v="1"/>
    <x v="6"/>
    <n v="0.61"/>
    <x v="3"/>
    <n v="227508"/>
    <s v="No"/>
    <s v="No"/>
    <d v="2020-07-13T00:00:00"/>
    <n v="3.8333333333333335"/>
  </r>
  <r>
    <n v="1168"/>
    <x v="325"/>
    <x v="2"/>
    <x v="2"/>
    <x v="3"/>
    <n v="0"/>
    <x v="2"/>
    <n v="258259"/>
    <s v="No"/>
    <s v="No"/>
    <d v="2017-10-30T00:00:00"/>
    <n v="6.5361111111111114"/>
  </r>
  <r>
    <n v="1169"/>
    <x v="306"/>
    <x v="25"/>
    <x v="5"/>
    <x v="6"/>
    <n v="0.4"/>
    <x v="2"/>
    <n v="209453"/>
    <s v="No"/>
    <s v="No"/>
    <d v="2020-10-27T00:00:00"/>
    <n v="3.5444444444444443"/>
  </r>
  <r>
    <n v="1170"/>
    <x v="307"/>
    <x v="6"/>
    <x v="1"/>
    <x v="5"/>
    <n v="0.55000000000000004"/>
    <x v="3"/>
    <n v="232944"/>
    <s v="No"/>
    <s v="No"/>
    <d v="2017-04-29T00:00:00"/>
    <n v="7.0388888888888888"/>
  </r>
  <r>
    <n v="1171"/>
    <x v="326"/>
    <x v="27"/>
    <x v="4"/>
    <x v="5"/>
    <n v="0.31"/>
    <x v="0"/>
    <n v="61140"/>
    <s v="No"/>
    <s v="Yes"/>
    <d v="2019-07-18T00:00:00"/>
    <n v="4.8194444444444446"/>
  </r>
  <r>
    <n v="1172"/>
    <x v="309"/>
    <x v="21"/>
    <x v="2"/>
    <x v="0"/>
    <n v="0.48"/>
    <x v="4"/>
    <n v="256543"/>
    <s v="No"/>
    <s v="Yes"/>
    <d v="2017-12-22T00:00:00"/>
    <n v="6.3916666666666666"/>
  </r>
  <r>
    <n v="1173"/>
    <x v="158"/>
    <x v="7"/>
    <x v="2"/>
    <x v="2"/>
    <n v="0.76"/>
    <x v="0"/>
    <n v="252726"/>
    <s v="No"/>
    <s v="No"/>
    <d v="2018-09-27T00:00:00"/>
    <n v="5.6277777777777782"/>
  </r>
  <r>
    <n v="1174"/>
    <x v="310"/>
    <x v="16"/>
    <x v="2"/>
    <x v="7"/>
    <n v="0.33"/>
    <x v="5"/>
    <n v="265784"/>
    <s v="No"/>
    <s v="Yes"/>
    <d v="2019-12-11T00:00:00"/>
    <n v="4.4222222222222225"/>
  </r>
  <r>
    <n v="1175"/>
    <x v="311"/>
    <x v="24"/>
    <x v="4"/>
    <x v="7"/>
    <n v="0.14000000000000001"/>
    <x v="1"/>
    <n v="83992"/>
    <s v="No"/>
    <s v="No"/>
    <d v="2019-06-25T00:00:00"/>
    <n v="4.8833333333333337"/>
  </r>
  <r>
    <n v="1176"/>
    <x v="312"/>
    <x v="36"/>
    <x v="2"/>
    <x v="0"/>
    <n v="0.64"/>
    <x v="4"/>
    <n v="256990"/>
    <s v="No"/>
    <s v="Yes"/>
    <d v="2018-11-15T00:00:00"/>
    <n v="5.4944444444444445"/>
  </r>
  <r>
    <n v="1178"/>
    <x v="49"/>
    <x v="46"/>
    <x v="4"/>
    <x v="2"/>
    <n v="0.41"/>
    <x v="3"/>
    <n v="80925"/>
    <s v="No"/>
    <s v="Yes"/>
    <d v="2019-07-19T00:00:00"/>
    <n v="4.8166666666666664"/>
  </r>
  <r>
    <n v="1179"/>
    <x v="313"/>
    <x v="20"/>
    <x v="1"/>
    <x v="0"/>
    <n v="0.12"/>
    <x v="3"/>
    <n v="227608"/>
    <s v="No"/>
    <s v="No"/>
    <d v="2018-02-13T00:00:00"/>
    <n v="6.25"/>
  </r>
  <r>
    <n v="1180"/>
    <x v="314"/>
    <x v="39"/>
    <x v="5"/>
    <x v="5"/>
    <n v="0.73"/>
    <x v="0"/>
    <n v="187678"/>
    <s v="No"/>
    <s v="Yes"/>
    <d v="2020-08-04T00:00:00"/>
    <n v="3.7749999999999999"/>
  </r>
  <r>
    <n v="1182"/>
    <x v="315"/>
    <x v="41"/>
    <x v="1"/>
    <x v="4"/>
    <n v="0.35"/>
    <x v="0"/>
    <n v="244857"/>
    <s v="No"/>
    <s v="Yes"/>
    <d v="2018-01-10T00:00:00"/>
    <n v="6.3416666666666668"/>
  </r>
  <r>
    <n v="1183"/>
    <x v="248"/>
    <x v="11"/>
    <x v="0"/>
    <x v="1"/>
    <n v="0.75"/>
    <x v="4"/>
    <n v="108679"/>
    <s v="No"/>
    <s v="Yes"/>
    <d v="2017-06-07T00:00:00"/>
    <n v="6.9333333333333336"/>
  </r>
  <r>
    <n v="1184"/>
    <x v="316"/>
    <x v="26"/>
    <x v="1"/>
    <x v="7"/>
    <n v="0.88"/>
    <x v="4"/>
    <n v="223127"/>
    <s v="No"/>
    <s v="Yes"/>
    <d v="2017-05-04T00:00:00"/>
    <n v="7.0250000000000004"/>
  </r>
  <r>
    <n v="1185"/>
    <x v="188"/>
    <x v="19"/>
    <x v="1"/>
    <x v="7"/>
    <n v="0.57999999999999996"/>
    <x v="2"/>
    <n v="228939"/>
    <s v="No"/>
    <s v="Yes"/>
    <d v="2018-12-26T00:00:00"/>
    <n v="5.3805555555555555"/>
  </r>
  <r>
    <n v="1186"/>
    <x v="305"/>
    <x v="10"/>
    <x v="1"/>
    <x v="3"/>
    <n v="0"/>
    <x v="0"/>
    <n v="233789"/>
    <s v="No"/>
    <s v="No"/>
    <d v="2020-08-30T00:00:00"/>
    <n v="3.7027777777777779"/>
  </r>
  <r>
    <n v="1187"/>
    <x v="327"/>
    <x v="35"/>
    <x v="5"/>
    <x v="2"/>
    <n v="0.89"/>
    <x v="5"/>
    <n v="195113"/>
    <s v="No"/>
    <s v="Yes"/>
    <d v="2019-10-10T00:00:00"/>
    <n v="4.5916666666666668"/>
  </r>
  <r>
    <n v="1188"/>
    <x v="328"/>
    <x v="29"/>
    <x v="1"/>
    <x v="1"/>
    <n v="0.7"/>
    <x v="1"/>
    <n v="241569"/>
    <s v="No"/>
    <s v="Yes"/>
    <d v="2020-04-01T00:00:00"/>
    <n v="4.1166666666666663"/>
  </r>
  <r>
    <n v="1189"/>
    <x v="293"/>
    <x v="49"/>
    <x v="5"/>
    <x v="6"/>
    <n v="0.78"/>
    <x v="5"/>
    <n v="200596"/>
    <s v="No"/>
    <s v="Yes"/>
    <d v="2020-12-02T00:00:00"/>
    <n v="3.4472222222222224"/>
  </r>
  <r>
    <n v="1190"/>
    <x v="329"/>
    <x v="37"/>
    <x v="4"/>
    <x v="1"/>
    <n v="0.73"/>
    <x v="2"/>
    <n v="83360"/>
    <s v="No"/>
    <s v="No"/>
    <d v="2020-06-04T00:00:00"/>
    <n v="3.9416666666666669"/>
  </r>
  <r>
    <n v="1191"/>
    <x v="330"/>
    <x v="1"/>
    <x v="0"/>
    <x v="5"/>
    <n v="0.66"/>
    <x v="5"/>
    <n v="120426"/>
    <s v="No"/>
    <s v="Yes"/>
    <d v="2020-11-22T00:00:00"/>
    <n v="3.4750000000000001"/>
  </r>
  <r>
    <n v="1192"/>
    <x v="331"/>
    <x v="32"/>
    <x v="0"/>
    <x v="7"/>
    <n v="0.87"/>
    <x v="2"/>
    <n v="107454"/>
    <s v="No"/>
    <s v="Yes"/>
    <d v="2020-06-21T00:00:00"/>
    <n v="3.8944444444444444"/>
  </r>
  <r>
    <n v="1193"/>
    <x v="332"/>
    <x v="23"/>
    <x v="1"/>
    <x v="7"/>
    <n v="0.66"/>
    <x v="1"/>
    <n v="245973"/>
    <s v="No"/>
    <s v="Yes"/>
    <d v="2018-04-10T00:00:00"/>
    <n v="6.0916666666666668"/>
  </r>
  <r>
    <n v="1194"/>
    <x v="333"/>
    <x v="48"/>
    <x v="5"/>
    <x v="7"/>
    <n v="0.73"/>
    <x v="3"/>
    <n v="189548"/>
    <s v="No"/>
    <s v="No"/>
    <d v="2018-04-13T00:00:00"/>
    <n v="6.083333333333333"/>
  </r>
  <r>
    <n v="1195"/>
    <x v="143"/>
    <x v="19"/>
    <x v="1"/>
    <x v="6"/>
    <n v="0.54"/>
    <x v="2"/>
    <n v="236545"/>
    <s v="No"/>
    <s v="Yes"/>
    <d v="2017-04-19T00:00:00"/>
    <n v="7.0666666666666664"/>
  </r>
  <r>
    <n v="1196"/>
    <x v="334"/>
    <x v="26"/>
    <x v="2"/>
    <x v="2"/>
    <n v="0.06"/>
    <x v="3"/>
    <n v="259704"/>
    <s v="No"/>
    <s v="No"/>
    <d v="2018-10-27T00:00:00"/>
    <n v="5.5444444444444443"/>
  </r>
  <r>
    <n v="1197"/>
    <x v="231"/>
    <x v="0"/>
    <x v="4"/>
    <x v="7"/>
    <n v="0.81"/>
    <x v="5"/>
    <n v="71955"/>
    <s v="No"/>
    <s v="Yes"/>
    <d v="2019-10-26T00:00:00"/>
    <n v="4.5472222222222225"/>
  </r>
  <r>
    <n v="1198"/>
    <x v="335"/>
    <x v="20"/>
    <x v="4"/>
    <x v="2"/>
    <n v="0.77"/>
    <x v="2"/>
    <n v="69932"/>
    <s v="No"/>
    <s v="Yes"/>
    <d v="2019-06-03T00:00:00"/>
    <n v="4.9444444444444446"/>
  </r>
  <r>
    <n v="1199"/>
    <x v="221"/>
    <x v="12"/>
    <x v="4"/>
    <x v="1"/>
    <n v="0.63"/>
    <x v="3"/>
    <n v="82420"/>
    <s v="No"/>
    <s v="Yes"/>
    <d v="2018-10-22T00:00:00"/>
    <n v="5.5583333333333336"/>
  </r>
  <r>
    <n v="1200"/>
    <x v="336"/>
    <x v="33"/>
    <x v="5"/>
    <x v="3"/>
    <n v="0"/>
    <x v="0"/>
    <n v="196692"/>
    <s v="No"/>
    <s v="No"/>
    <d v="2018-04-03T00:00:00"/>
    <n v="6.1111111111111107"/>
  </r>
  <r>
    <n v="1202"/>
    <x v="337"/>
    <x v="35"/>
    <x v="4"/>
    <x v="1"/>
    <n v="0.81"/>
    <x v="3"/>
    <n v="79204"/>
    <s v="No"/>
    <s v="No"/>
    <d v="2019-10-16T00:00:00"/>
    <n v="4.5750000000000002"/>
  </r>
  <r>
    <n v="1204"/>
    <x v="338"/>
    <x v="29"/>
    <x v="1"/>
    <x v="3"/>
    <n v="0"/>
    <x v="1"/>
    <n v="237432"/>
    <s v="No"/>
    <s v="No"/>
    <d v="2018-05-03T00:00:00"/>
    <n v="6.0277777777777777"/>
  </r>
  <r>
    <n v="1205"/>
    <x v="339"/>
    <x v="8"/>
    <x v="4"/>
    <x v="0"/>
    <n v="0.66"/>
    <x v="5"/>
    <n v="84597"/>
    <s v="No"/>
    <s v="Yes"/>
    <d v="2019-01-04T00:00:00"/>
    <n v="5.3583333333333334"/>
  </r>
  <r>
    <n v="1206"/>
    <x v="340"/>
    <x v="6"/>
    <x v="1"/>
    <x v="0"/>
    <n v="0.55000000000000004"/>
    <x v="5"/>
    <n v="235909"/>
    <s v="No"/>
    <s v="Yes"/>
    <d v="2019-08-15T00:00:00"/>
    <n v="4.7444444444444445"/>
  </r>
  <r>
    <n v="1207"/>
    <x v="269"/>
    <x v="5"/>
    <x v="1"/>
    <x v="3"/>
    <n v="0"/>
    <x v="0"/>
    <n v="237907"/>
    <s v="No"/>
    <s v="No"/>
    <d v="2020-09-24T00:00:00"/>
    <n v="3.6361111111111111"/>
  </r>
  <r>
    <n v="1208"/>
    <x v="267"/>
    <x v="45"/>
    <x v="4"/>
    <x v="5"/>
    <n v="0.64"/>
    <x v="4"/>
    <n v="74553"/>
    <s v="No"/>
    <s v="Yes"/>
    <d v="2018-04-21T00:00:00"/>
    <n v="6.0611111111111109"/>
  </r>
  <r>
    <n v="1209"/>
    <x v="252"/>
    <x v="49"/>
    <x v="2"/>
    <x v="1"/>
    <n v="0.81"/>
    <x v="2"/>
    <n v="266473"/>
    <s v="No"/>
    <s v="Yes"/>
    <d v="2018-01-01T00:00:00"/>
    <n v="6.3666666666666663"/>
  </r>
  <r>
    <n v="1210"/>
    <x v="341"/>
    <x v="41"/>
    <x v="0"/>
    <x v="2"/>
    <n v="0.12"/>
    <x v="2"/>
    <n v="136371"/>
    <s v="No"/>
    <s v="No"/>
    <d v="2018-12-21T00:00:00"/>
    <n v="5.3944444444444448"/>
  </r>
  <r>
    <n v="1211"/>
    <x v="342"/>
    <x v="36"/>
    <x v="1"/>
    <x v="7"/>
    <n v="0.77"/>
    <x v="0"/>
    <n v="236093"/>
    <s v="No"/>
    <s v="No"/>
    <d v="2019-08-02T00:00:00"/>
    <n v="4.7805555555555559"/>
  </r>
  <r>
    <n v="1212"/>
    <x v="343"/>
    <x v="37"/>
    <x v="4"/>
    <x v="6"/>
    <n v="0.8"/>
    <x v="5"/>
    <n v="72047"/>
    <s v="No"/>
    <s v="Yes"/>
    <d v="2020-03-22T00:00:00"/>
    <n v="4.1416666666666666"/>
  </r>
  <r>
    <n v="1213"/>
    <x v="344"/>
    <x v="43"/>
    <x v="0"/>
    <x v="4"/>
    <n v="0.93"/>
    <x v="0"/>
    <n v="130774"/>
    <s v="No"/>
    <s v="Yes"/>
    <d v="2019-06-21T00:00:00"/>
    <n v="4.8944444444444448"/>
  </r>
  <r>
    <n v="1214"/>
    <x v="345"/>
    <x v="11"/>
    <x v="5"/>
    <x v="1"/>
    <n v="0.85"/>
    <x v="5"/>
    <n v="180238"/>
    <s v="No"/>
    <s v="Yes"/>
    <d v="2018-03-15T00:00:00"/>
    <n v="6.1611111111111114"/>
  </r>
  <r>
    <n v="1215"/>
    <x v="346"/>
    <x v="44"/>
    <x v="4"/>
    <x v="2"/>
    <n v="0.87"/>
    <x v="3"/>
    <n v="87002"/>
    <s v="No"/>
    <s v="No"/>
    <d v="2017-07-16T00:00:00"/>
    <n v="6.8250000000000002"/>
  </r>
  <r>
    <n v="1216"/>
    <x v="347"/>
    <x v="18"/>
    <x v="2"/>
    <x v="7"/>
    <n v="0.77"/>
    <x v="0"/>
    <n v="258451"/>
    <s v="No"/>
    <s v="Yes"/>
    <d v="2018-10-14T00:00:00"/>
    <n v="5.5805555555555557"/>
  </r>
  <r>
    <n v="1217"/>
    <x v="348"/>
    <x v="23"/>
    <x v="4"/>
    <x v="5"/>
    <n v="0.83"/>
    <x v="2"/>
    <n v="61829"/>
    <s v="No"/>
    <s v="Yes"/>
    <d v="2017-08-22T00:00:00"/>
    <n v="6.7249999999999996"/>
  </r>
  <r>
    <n v="1218"/>
    <x v="349"/>
    <x v="31"/>
    <x v="4"/>
    <x v="6"/>
    <n v="0.09"/>
    <x v="2"/>
    <n v="74981"/>
    <s v="No"/>
    <s v="No"/>
    <d v="2020-07-13T00:00:00"/>
    <n v="3.8333333333333335"/>
  </r>
  <r>
    <n v="1219"/>
    <x v="350"/>
    <x v="22"/>
    <x v="5"/>
    <x v="1"/>
    <n v="0.47"/>
    <x v="2"/>
    <n v="200025"/>
    <s v="No"/>
    <s v="Yes"/>
    <d v="2018-10-21T00:00:00"/>
    <n v="5.5611111111111109"/>
  </r>
  <r>
    <n v="1221"/>
    <x v="351"/>
    <x v="40"/>
    <x v="1"/>
    <x v="5"/>
    <n v="0.33"/>
    <x v="5"/>
    <n v="244139"/>
    <s v="No"/>
    <s v="Yes"/>
    <d v="2018-05-30T00:00:00"/>
    <n v="5.9527777777777775"/>
  </r>
  <r>
    <n v="1222"/>
    <x v="352"/>
    <x v="13"/>
    <x v="5"/>
    <x v="7"/>
    <n v="0.94"/>
    <x v="3"/>
    <n v="197923"/>
    <s v="No"/>
    <s v="Yes"/>
    <d v="2019-03-31T00:00:00"/>
    <n v="5.1194444444444445"/>
  </r>
  <r>
    <n v="1223"/>
    <x v="353"/>
    <x v="30"/>
    <x v="5"/>
    <x v="1"/>
    <n v="0.36"/>
    <x v="5"/>
    <n v="183659"/>
    <s v="No"/>
    <s v="Yes"/>
    <d v="2018-10-23T00:00:00"/>
    <n v="5.5555555555555554"/>
  </r>
  <r>
    <n v="1224"/>
    <x v="129"/>
    <x v="26"/>
    <x v="2"/>
    <x v="1"/>
    <n v="0.66"/>
    <x v="1"/>
    <n v="270674"/>
    <s v="No"/>
    <s v="No"/>
    <d v="2017-11-06T00:00:00"/>
    <n v="6.5194444444444448"/>
  </r>
  <r>
    <n v="1225"/>
    <x v="354"/>
    <x v="28"/>
    <x v="5"/>
    <x v="3"/>
    <n v="0"/>
    <x v="4"/>
    <n v="184703"/>
    <s v="No"/>
    <s v="Yes"/>
    <d v="2020-01-05T00:00:00"/>
    <n v="4.3555555555555552"/>
  </r>
  <r>
    <n v="1226"/>
    <x v="348"/>
    <x v="21"/>
    <x v="1"/>
    <x v="5"/>
    <n v="0.66"/>
    <x v="5"/>
    <n v="241085"/>
    <s v="No"/>
    <s v="Yes"/>
    <d v="2018-04-22T00:00:00"/>
    <n v="6.0583333333333336"/>
  </r>
  <r>
    <n v="1227"/>
    <x v="149"/>
    <x v="42"/>
    <x v="2"/>
    <x v="5"/>
    <n v="0.15"/>
    <x v="2"/>
    <n v="267418"/>
    <s v="No"/>
    <s v="No"/>
    <d v="2019-04-26T00:00:00"/>
    <n v="5.0472222222222225"/>
  </r>
  <r>
    <n v="1228"/>
    <x v="355"/>
    <x v="9"/>
    <x v="5"/>
    <x v="7"/>
    <n v="0.62"/>
    <x v="2"/>
    <n v="198311"/>
    <s v="No"/>
    <s v="No"/>
    <d v="2018-02-08T00:00:00"/>
    <n v="6.2638888888888893"/>
  </r>
  <r>
    <n v="1229"/>
    <x v="356"/>
    <x v="48"/>
    <x v="1"/>
    <x v="6"/>
    <n v="0.71"/>
    <x v="0"/>
    <n v="239174"/>
    <s v="No"/>
    <s v="No"/>
    <d v="2020-06-21T00:00:00"/>
    <n v="3.8944444444444444"/>
  </r>
  <r>
    <n v="1230"/>
    <x v="357"/>
    <x v="15"/>
    <x v="4"/>
    <x v="2"/>
    <n v="0.57999999999999996"/>
    <x v="4"/>
    <n v="83799"/>
    <s v="No"/>
    <s v="Yes"/>
    <d v="2017-10-05T00:00:00"/>
    <n v="6.6055555555555552"/>
  </r>
  <r>
    <n v="1232"/>
    <x v="358"/>
    <x v="4"/>
    <x v="4"/>
    <x v="5"/>
    <n v="0.17"/>
    <x v="3"/>
    <n v="77986"/>
    <s v="No"/>
    <s v="No"/>
    <d v="2019-08-24T00:00:00"/>
    <n v="4.7194444444444441"/>
  </r>
  <r>
    <n v="1233"/>
    <x v="173"/>
    <x v="36"/>
    <x v="5"/>
    <x v="1"/>
    <n v="0.99"/>
    <x v="1"/>
    <n v="205127"/>
    <s v="No"/>
    <s v="No"/>
    <d v="2020-10-17T00:00:00"/>
    <n v="3.5722222222222224"/>
  </r>
  <r>
    <n v="1234"/>
    <x v="359"/>
    <x v="27"/>
    <x v="0"/>
    <x v="3"/>
    <n v="0"/>
    <x v="0"/>
    <n v="135081"/>
    <s v="No"/>
    <s v="No"/>
    <d v="2018-05-20T00:00:00"/>
    <n v="5.9805555555555552"/>
  </r>
  <r>
    <n v="1235"/>
    <x v="360"/>
    <x v="34"/>
    <x v="1"/>
    <x v="5"/>
    <n v="0.85"/>
    <x v="3"/>
    <n v="229569"/>
    <s v="No"/>
    <s v="Yes"/>
    <d v="2019-08-22T00:00:00"/>
    <n v="4.7249999999999996"/>
  </r>
  <r>
    <n v="1236"/>
    <x v="361"/>
    <x v="6"/>
    <x v="1"/>
    <x v="2"/>
    <n v="0.38"/>
    <x v="1"/>
    <n v="226327"/>
    <s v="No"/>
    <s v="Yes"/>
    <d v="2018-07-30T00:00:00"/>
    <n v="5.7861111111111114"/>
  </r>
  <r>
    <n v="1237"/>
    <x v="362"/>
    <x v="2"/>
    <x v="5"/>
    <x v="2"/>
    <n v="0.33"/>
    <x v="4"/>
    <n v="191223"/>
    <s v="No"/>
    <s v="Yes"/>
    <d v="2017-09-26T00:00:00"/>
    <n v="6.6305555555555555"/>
  </r>
  <r>
    <n v="1238"/>
    <x v="363"/>
    <x v="19"/>
    <x v="4"/>
    <x v="6"/>
    <n v="0.15"/>
    <x v="2"/>
    <n v="68328"/>
    <s v="No"/>
    <s v="No"/>
    <d v="2018-05-09T00:00:00"/>
    <n v="6.0111111111111111"/>
  </r>
  <r>
    <n v="1239"/>
    <x v="364"/>
    <x v="17"/>
    <x v="0"/>
    <x v="0"/>
    <n v="0.87"/>
    <x v="0"/>
    <n v="142014"/>
    <s v="No"/>
    <s v="No"/>
    <d v="2017-05-04T00:00:00"/>
    <n v="7.0250000000000004"/>
  </r>
  <r>
    <n v="1240"/>
    <x v="365"/>
    <x v="47"/>
    <x v="2"/>
    <x v="0"/>
    <n v="0.44"/>
    <x v="1"/>
    <n v="273816"/>
    <s v="No"/>
    <s v="Yes"/>
    <d v="2019-12-24T00:00:00"/>
    <n v="4.3861111111111111"/>
  </r>
  <r>
    <n v="1241"/>
    <x v="366"/>
    <x v="43"/>
    <x v="5"/>
    <x v="2"/>
    <n v="1"/>
    <x v="1"/>
    <n v="181339"/>
    <s v="No"/>
    <s v="Yes"/>
    <d v="2020-09-30T00:00:00"/>
    <n v="3.6194444444444445"/>
  </r>
  <r>
    <n v="1244"/>
    <x v="367"/>
    <x v="37"/>
    <x v="1"/>
    <x v="5"/>
    <n v="0.9"/>
    <x v="2"/>
    <n v="243288"/>
    <s v="No"/>
    <s v="No"/>
    <d v="2018-02-27T00:00:00"/>
    <n v="6.2111111111111112"/>
  </r>
  <r>
    <n v="1245"/>
    <x v="79"/>
    <x v="24"/>
    <x v="1"/>
    <x v="1"/>
    <n v="0.45"/>
    <x v="5"/>
    <n v="226999"/>
    <s v="No"/>
    <s v="Yes"/>
    <d v="2018-07-23T00:00:00"/>
    <n v="5.8055555555555554"/>
  </r>
  <r>
    <n v="1246"/>
    <x v="161"/>
    <x v="0"/>
    <x v="4"/>
    <x v="1"/>
    <n v="0.94"/>
    <x v="2"/>
    <n v="80390"/>
    <s v="No"/>
    <s v="No"/>
    <d v="2018-07-11T00:00:00"/>
    <n v="5.8388888888888886"/>
  </r>
  <r>
    <n v="1247"/>
    <x v="173"/>
    <x v="20"/>
    <x v="5"/>
    <x v="0"/>
    <n v="0.89"/>
    <x v="3"/>
    <n v="209503"/>
    <s v="No"/>
    <s v="Yes"/>
    <d v="2017-06-16T00:00:00"/>
    <n v="6.9083333333333332"/>
  </r>
  <r>
    <n v="1248"/>
    <x v="177"/>
    <x v="5"/>
    <x v="2"/>
    <x v="4"/>
    <n v="0.83"/>
    <x v="0"/>
    <n v="261859"/>
    <s v="No"/>
    <s v="Yes"/>
    <d v="2020-05-31T00:00:00"/>
    <n v="3.9527777777777779"/>
  </r>
  <r>
    <n v="1249"/>
    <x v="368"/>
    <x v="16"/>
    <x v="0"/>
    <x v="0"/>
    <n v="0"/>
    <x v="3"/>
    <n v="136503"/>
    <s v="No"/>
    <s v="No"/>
    <d v="2018-11-11T00:00:00"/>
    <n v="5.5055555555555555"/>
  </r>
  <r>
    <n v="1250"/>
    <x v="369"/>
    <x v="8"/>
    <x v="5"/>
    <x v="5"/>
    <n v="0.9"/>
    <x v="2"/>
    <n v="187060"/>
    <s v="No"/>
    <s v="Yes"/>
    <d v="2018-09-10T00:00:00"/>
    <n v="5.6749999999999998"/>
  </r>
  <r>
    <n v="1251"/>
    <x v="370"/>
    <x v="29"/>
    <x v="1"/>
    <x v="4"/>
    <n v="0.94"/>
    <x v="4"/>
    <n v="241679"/>
    <s v="No"/>
    <s v="Yes"/>
    <d v="2020-04-05T00:00:00"/>
    <n v="4.1055555555555552"/>
  </r>
  <r>
    <n v="1252"/>
    <x v="371"/>
    <x v="14"/>
    <x v="0"/>
    <x v="4"/>
    <n v="0.83"/>
    <x v="5"/>
    <n v="109660"/>
    <s v="No"/>
    <s v="Yes"/>
    <d v="2018-12-13T00:00:00"/>
    <n v="5.416666666666667"/>
  </r>
  <r>
    <n v="1254"/>
    <x v="372"/>
    <x v="47"/>
    <x v="1"/>
    <x v="0"/>
    <n v="0.54"/>
    <x v="1"/>
    <n v="249893"/>
    <s v="No"/>
    <s v="Yes"/>
    <d v="2019-07-25T00:00:00"/>
    <n v="4.8"/>
  </r>
  <r>
    <n v="1256"/>
    <x v="373"/>
    <x v="4"/>
    <x v="4"/>
    <x v="2"/>
    <n v="0.56000000000000005"/>
    <x v="3"/>
    <n v="96837"/>
    <s v="No"/>
    <s v="Yes"/>
    <d v="2020-01-05T00:00:00"/>
    <n v="4.3555555555555552"/>
  </r>
  <r>
    <n v="1257"/>
    <x v="105"/>
    <x v="16"/>
    <x v="0"/>
    <x v="2"/>
    <n v="0.53"/>
    <x v="1"/>
    <n v="131921"/>
    <s v="No"/>
    <s v="Yes"/>
    <d v="2017-07-11T00:00:00"/>
    <n v="6.8388888888888886"/>
  </r>
  <r>
    <n v="1258"/>
    <x v="374"/>
    <x v="40"/>
    <x v="1"/>
    <x v="5"/>
    <n v="0.28999999999999998"/>
    <x v="3"/>
    <n v="230855"/>
    <s v="No"/>
    <s v="No"/>
    <d v="2019-03-19T00:00:00"/>
    <n v="5.15"/>
  </r>
  <r>
    <n v="1261"/>
    <x v="375"/>
    <x v="34"/>
    <x v="1"/>
    <x v="6"/>
    <n v="0.45"/>
    <x v="5"/>
    <n v="231731"/>
    <s v="No"/>
    <s v="Yes"/>
    <d v="2019-02-09T00:00:00"/>
    <n v="5.2611111111111111"/>
  </r>
  <r>
    <n v="1262"/>
    <x v="376"/>
    <x v="17"/>
    <x v="1"/>
    <x v="6"/>
    <n v="0.71"/>
    <x v="2"/>
    <n v="248259"/>
    <s v="No"/>
    <s v="Yes"/>
    <d v="2017-12-31T00:00:00"/>
    <n v="6.3694444444444445"/>
  </r>
  <r>
    <n v="1263"/>
    <x v="377"/>
    <x v="13"/>
    <x v="4"/>
    <x v="7"/>
    <n v="0.19"/>
    <x v="3"/>
    <n v="82121"/>
    <s v="No"/>
    <s v="No"/>
    <d v="2020-10-22T00:00:00"/>
    <n v="3.5583333333333331"/>
  </r>
  <r>
    <n v="1264"/>
    <x v="378"/>
    <x v="48"/>
    <x v="0"/>
    <x v="1"/>
    <n v="0.17"/>
    <x v="1"/>
    <n v="142331"/>
    <s v="No"/>
    <s v="No"/>
    <d v="2017-07-10T00:00:00"/>
    <n v="6.8416666666666668"/>
  </r>
  <r>
    <n v="1265"/>
    <x v="379"/>
    <x v="19"/>
    <x v="1"/>
    <x v="5"/>
    <n v="0.99"/>
    <x v="3"/>
    <n v="222043"/>
    <s v="No"/>
    <s v="No"/>
    <d v="2017-11-11T00:00:00"/>
    <n v="6.5055555555555555"/>
  </r>
  <r>
    <n v="1266"/>
    <x v="264"/>
    <x v="26"/>
    <x v="0"/>
    <x v="3"/>
    <n v="0"/>
    <x v="3"/>
    <n v="148743"/>
    <s v="No"/>
    <s v="Yes"/>
    <d v="2018-12-16T00:00:00"/>
    <n v="5.4083333333333332"/>
  </r>
  <r>
    <n v="1267"/>
    <x v="380"/>
    <x v="0"/>
    <x v="1"/>
    <x v="6"/>
    <n v="0.18"/>
    <x v="0"/>
    <n v="239386"/>
    <s v="No"/>
    <s v="No"/>
    <d v="2020-11-25T00:00:00"/>
    <n v="3.4666666666666668"/>
  </r>
  <r>
    <n v="1268"/>
    <x v="381"/>
    <x v="20"/>
    <x v="5"/>
    <x v="1"/>
    <n v="0.51"/>
    <x v="5"/>
    <n v="192047"/>
    <s v="No"/>
    <s v="Yes"/>
    <d v="2020-04-21T00:00:00"/>
    <n v="4.0611111111111109"/>
  </r>
  <r>
    <n v="1269"/>
    <x v="231"/>
    <x v="12"/>
    <x v="4"/>
    <x v="1"/>
    <n v="0.34"/>
    <x v="0"/>
    <n v="66682"/>
    <s v="No"/>
    <s v="No"/>
    <d v="2020-02-04T00:00:00"/>
    <n v="4.2750000000000004"/>
  </r>
  <r>
    <n v="1270"/>
    <x v="382"/>
    <x v="33"/>
    <x v="5"/>
    <x v="4"/>
    <n v="0.61"/>
    <x v="3"/>
    <n v="190468"/>
    <s v="No"/>
    <s v="No"/>
    <d v="2019-11-28T00:00:00"/>
    <n v="4.458333333333333"/>
  </r>
  <r>
    <n v="1271"/>
    <x v="248"/>
    <x v="35"/>
    <x v="4"/>
    <x v="4"/>
    <n v="0.91"/>
    <x v="2"/>
    <n v="92723"/>
    <s v="No"/>
    <s v="Yes"/>
    <d v="2018-10-23T00:00:00"/>
    <n v="5.5555555555555554"/>
  </r>
  <r>
    <n v="1272"/>
    <x v="383"/>
    <x v="29"/>
    <x v="5"/>
    <x v="0"/>
    <n v="0.8"/>
    <x v="4"/>
    <n v="186717"/>
    <s v="No"/>
    <s v="Yes"/>
    <d v="2019-11-14T00:00:00"/>
    <n v="4.4972222222222218"/>
  </r>
  <r>
    <n v="1273"/>
    <x v="297"/>
    <x v="8"/>
    <x v="0"/>
    <x v="0"/>
    <n v="1"/>
    <x v="4"/>
    <n v="121560"/>
    <s v="No"/>
    <s v="Yes"/>
    <d v="2017-07-14T00:00:00"/>
    <n v="6.8305555555555557"/>
  </r>
  <r>
    <n v="1274"/>
    <x v="384"/>
    <x v="6"/>
    <x v="5"/>
    <x v="6"/>
    <n v="0.73"/>
    <x v="5"/>
    <n v="195631"/>
    <s v="No"/>
    <s v="Yes"/>
    <d v="2020-01-29T00:00:00"/>
    <n v="4.2888888888888888"/>
  </r>
  <r>
    <n v="1275"/>
    <x v="385"/>
    <x v="5"/>
    <x v="5"/>
    <x v="5"/>
    <n v="0.35"/>
    <x v="4"/>
    <n v="189789"/>
    <s v="No"/>
    <s v="Yes"/>
    <d v="2018-05-24T00:00:00"/>
    <n v="5.9694444444444441"/>
  </r>
  <r>
    <n v="1276"/>
    <x v="386"/>
    <x v="45"/>
    <x v="4"/>
    <x v="4"/>
    <n v="0.23"/>
    <x v="0"/>
    <n v="82021"/>
    <s v="No"/>
    <s v="No"/>
    <d v="2017-10-09T00:00:00"/>
    <n v="6.5944444444444441"/>
  </r>
  <r>
    <n v="1277"/>
    <x v="387"/>
    <x v="49"/>
    <x v="5"/>
    <x v="5"/>
    <n v="0.67"/>
    <x v="1"/>
    <n v="182675"/>
    <s v="No"/>
    <s v="No"/>
    <d v="2018-10-25T00:00:00"/>
    <n v="5.55"/>
  </r>
  <r>
    <n v="1278"/>
    <x v="354"/>
    <x v="41"/>
    <x v="4"/>
    <x v="3"/>
    <n v="0"/>
    <x v="2"/>
    <n v="90939"/>
    <s v="No"/>
    <s v="No"/>
    <d v="2018-08-27T00:00:00"/>
    <n v="5.7111111111111112"/>
  </r>
  <r>
    <n v="1279"/>
    <x v="346"/>
    <x v="36"/>
    <x v="4"/>
    <x v="6"/>
    <n v="0.42"/>
    <x v="1"/>
    <n v="90879"/>
    <s v="No"/>
    <s v="Yes"/>
    <d v="2020-05-14T00:00:00"/>
    <n v="3.9972222222222222"/>
  </r>
  <r>
    <n v="1280"/>
    <x v="347"/>
    <x v="37"/>
    <x v="1"/>
    <x v="2"/>
    <n v="0.63"/>
    <x v="3"/>
    <n v="246229"/>
    <s v="No"/>
    <s v="Yes"/>
    <d v="2019-04-18T00:00:00"/>
    <n v="5.0694444444444446"/>
  </r>
  <r>
    <n v="1281"/>
    <x v="348"/>
    <x v="43"/>
    <x v="0"/>
    <x v="2"/>
    <n v="0.39"/>
    <x v="2"/>
    <n v="127841"/>
    <s v="No"/>
    <s v="No"/>
    <d v="2019-12-05T00:00:00"/>
    <n v="4.4388888888888891"/>
  </r>
  <r>
    <n v="1282"/>
    <x v="349"/>
    <x v="11"/>
    <x v="4"/>
    <x v="5"/>
    <n v="0.68"/>
    <x v="0"/>
    <n v="96588"/>
    <s v="No"/>
    <s v="Yes"/>
    <d v="2019-10-05T00:00:00"/>
    <n v="4.6055555555555552"/>
  </r>
  <r>
    <n v="1284"/>
    <x v="350"/>
    <x v="44"/>
    <x v="0"/>
    <x v="6"/>
    <n v="0.55000000000000004"/>
    <x v="0"/>
    <n v="148425"/>
    <s v="No"/>
    <s v="Yes"/>
    <d v="2020-03-30T00:00:00"/>
    <n v="4.1194444444444445"/>
  </r>
  <r>
    <n v="1285"/>
    <x v="351"/>
    <x v="18"/>
    <x v="5"/>
    <x v="5"/>
    <n v="0.96"/>
    <x v="0"/>
    <n v="195112"/>
    <s v="No"/>
    <s v="No"/>
    <d v="2019-10-04T00:00:00"/>
    <n v="4.6083333333333334"/>
  </r>
  <r>
    <n v="1286"/>
    <x v="352"/>
    <x v="23"/>
    <x v="1"/>
    <x v="5"/>
    <n v="0.96"/>
    <x v="1"/>
    <n v="244135"/>
    <s v="No"/>
    <s v="Yes"/>
    <d v="2017-10-02T00:00:00"/>
    <n v="6.6138888888888889"/>
  </r>
  <r>
    <n v="1287"/>
    <x v="353"/>
    <x v="31"/>
    <x v="1"/>
    <x v="1"/>
    <n v="0.56999999999999995"/>
    <x v="5"/>
    <n v="220041"/>
    <s v="No"/>
    <s v="Yes"/>
    <d v="2019-08-04T00:00:00"/>
    <n v="4.7750000000000004"/>
  </r>
  <r>
    <n v="1288"/>
    <x v="129"/>
    <x v="22"/>
    <x v="1"/>
    <x v="2"/>
    <n v="0.87"/>
    <x v="3"/>
    <n v="234994"/>
    <s v="No"/>
    <s v="No"/>
    <d v="2018-06-11T00:00:00"/>
    <n v="5.9222222222222225"/>
  </r>
  <r>
    <n v="1289"/>
    <x v="354"/>
    <x v="40"/>
    <x v="0"/>
    <x v="6"/>
    <n v="0.72"/>
    <x v="3"/>
    <n v="105651"/>
    <s v="No"/>
    <s v="No"/>
    <d v="2020-04-12T00:00:00"/>
    <n v="4.0861111111111112"/>
  </r>
  <r>
    <n v="1291"/>
    <x v="348"/>
    <x v="13"/>
    <x v="5"/>
    <x v="5"/>
    <n v="0.68"/>
    <x v="0"/>
    <n v="182843"/>
    <s v="No"/>
    <s v="No"/>
    <d v="2018-11-21T00:00:00"/>
    <n v="5.4777777777777779"/>
  </r>
  <r>
    <n v="1292"/>
    <x v="149"/>
    <x v="30"/>
    <x v="0"/>
    <x v="7"/>
    <n v="0.37"/>
    <x v="1"/>
    <n v="124428"/>
    <s v="No"/>
    <s v="Yes"/>
    <d v="2019-02-13T00:00:00"/>
    <n v="5.25"/>
  </r>
  <r>
    <n v="1293"/>
    <x v="355"/>
    <x v="26"/>
    <x v="4"/>
    <x v="0"/>
    <n v="0.67"/>
    <x v="5"/>
    <n v="87393"/>
    <s v="No"/>
    <s v="Yes"/>
    <d v="2020-02-11T00:00:00"/>
    <n v="4.2555555555555555"/>
  </r>
  <r>
    <n v="1294"/>
    <x v="356"/>
    <x v="28"/>
    <x v="0"/>
    <x v="5"/>
    <n v="0.99"/>
    <x v="0"/>
    <n v="148491"/>
    <s v="No"/>
    <s v="Yes"/>
    <d v="2018-10-29T00:00:00"/>
    <n v="5.5388888888888888"/>
  </r>
  <r>
    <n v="1295"/>
    <x v="357"/>
    <x v="21"/>
    <x v="4"/>
    <x v="0"/>
    <n v="0.82"/>
    <x v="0"/>
    <n v="62003"/>
    <s v="No"/>
    <s v="No"/>
    <d v="2019-03-10T00:00:00"/>
    <n v="5.1749999999999998"/>
  </r>
  <r>
    <n v="1296"/>
    <x v="358"/>
    <x v="42"/>
    <x v="5"/>
    <x v="0"/>
    <n v="0.45"/>
    <x v="0"/>
    <n v="203278"/>
    <s v="No"/>
    <s v="No"/>
    <d v="2020-05-04T00:00:00"/>
    <n v="4.0250000000000004"/>
  </r>
  <r>
    <n v="1297"/>
    <x v="173"/>
    <x v="9"/>
    <x v="0"/>
    <x v="7"/>
    <n v="0.4"/>
    <x v="0"/>
    <n v="141781"/>
    <s v="No"/>
    <s v="No"/>
    <d v="2018-10-08T00:00:00"/>
    <n v="5.5972222222222223"/>
  </r>
  <r>
    <n v="1298"/>
    <x v="359"/>
    <x v="48"/>
    <x v="0"/>
    <x v="0"/>
    <n v="0.65"/>
    <x v="3"/>
    <n v="130003"/>
    <s v="No"/>
    <s v="No"/>
    <d v="2019-03-03T00:00:00"/>
    <n v="5.1944444444444446"/>
  </r>
  <r>
    <n v="1299"/>
    <x v="360"/>
    <x v="15"/>
    <x v="4"/>
    <x v="4"/>
    <n v="0.68"/>
    <x v="0"/>
    <n v="92353"/>
    <s v="No"/>
    <s v="No"/>
    <d v="2018-09-01T00:00:00"/>
    <n v="5.7"/>
  </r>
  <r>
    <n v="1301"/>
    <x v="361"/>
    <x v="4"/>
    <x v="4"/>
    <x v="0"/>
    <n v="0.71"/>
    <x v="3"/>
    <n v="81679"/>
    <s v="No"/>
    <s v="Yes"/>
    <d v="2017-08-04T00:00:00"/>
    <n v="6.7750000000000004"/>
  </r>
  <r>
    <n v="1304"/>
    <x v="362"/>
    <x v="36"/>
    <x v="0"/>
    <x v="1"/>
    <n v="0.72"/>
    <x v="1"/>
    <n v="123877"/>
    <s v="No"/>
    <s v="Yes"/>
    <d v="2018-06-24T00:00:00"/>
    <n v="5.8861111111111111"/>
  </r>
  <r>
    <n v="1305"/>
    <x v="363"/>
    <x v="27"/>
    <x v="5"/>
    <x v="6"/>
    <n v="0.19"/>
    <x v="0"/>
    <n v="209837"/>
    <s v="No"/>
    <s v="No"/>
    <d v="2018-05-30T00:00:00"/>
    <n v="5.9527777777777775"/>
  </r>
  <r>
    <n v="1306"/>
    <x v="364"/>
    <x v="37"/>
    <x v="4"/>
    <x v="7"/>
    <n v="0.98"/>
    <x v="0"/>
    <n v="94294"/>
    <s v="No"/>
    <s v="Yes"/>
    <d v="2020-07-25T00:00:00"/>
    <n v="3.8"/>
  </r>
  <r>
    <n v="1307"/>
    <x v="365"/>
    <x v="43"/>
    <x v="2"/>
    <x v="3"/>
    <n v="0"/>
    <x v="3"/>
    <n v="269034"/>
    <s v="No"/>
    <s v="Yes"/>
    <d v="2020-08-12T00:00:00"/>
    <n v="3.7527777777777778"/>
  </r>
  <r>
    <n v="1308"/>
    <x v="366"/>
    <x v="11"/>
    <x v="0"/>
    <x v="5"/>
    <n v="0.43"/>
    <x v="4"/>
    <n v="136346"/>
    <s v="No"/>
    <s v="Yes"/>
    <d v="2018-07-26T00:00:00"/>
    <n v="5.7972222222222225"/>
  </r>
  <r>
    <n v="1309"/>
    <x v="367"/>
    <x v="44"/>
    <x v="5"/>
    <x v="4"/>
    <n v="0.01"/>
    <x v="3"/>
    <n v="184952"/>
    <s v="No"/>
    <s v="No"/>
    <d v="2018-11-26T00:00:00"/>
    <n v="5.4638888888888886"/>
  </r>
  <r>
    <n v="1310"/>
    <x v="79"/>
    <x v="18"/>
    <x v="0"/>
    <x v="4"/>
    <n v="0.86"/>
    <x v="0"/>
    <n v="116343"/>
    <s v="No"/>
    <s v="Yes"/>
    <d v="2019-02-24T00:00:00"/>
    <n v="5.2194444444444441"/>
  </r>
  <r>
    <n v="1311"/>
    <x v="161"/>
    <x v="23"/>
    <x v="1"/>
    <x v="4"/>
    <n v="0.91"/>
    <x v="2"/>
    <n v="244201"/>
    <s v="No"/>
    <s v="Yes"/>
    <d v="2018-08-07T00:00:00"/>
    <n v="5.7666666666666666"/>
  </r>
  <r>
    <n v="1314"/>
    <x v="173"/>
    <x v="31"/>
    <x v="0"/>
    <x v="2"/>
    <n v="0.7"/>
    <x v="4"/>
    <n v="113338"/>
    <s v="No"/>
    <s v="Yes"/>
    <d v="2018-11-07T00:00:00"/>
    <n v="5.5166666666666666"/>
  </r>
  <r>
    <n v="1315"/>
    <x v="177"/>
    <x v="22"/>
    <x v="1"/>
    <x v="1"/>
    <n v="0.04"/>
    <x v="2"/>
    <n v="224362"/>
    <s v="No"/>
    <s v="No"/>
    <d v="2020-02-04T00:00:00"/>
    <n v="4.2750000000000004"/>
  </r>
  <r>
    <n v="1316"/>
    <x v="368"/>
    <x v="40"/>
    <x v="0"/>
    <x v="6"/>
    <n v="0.79"/>
    <x v="1"/>
    <n v="110897"/>
    <s v="No"/>
    <s v="Yes"/>
    <d v="2019-12-07T00:00:00"/>
    <n v="4.4333333333333336"/>
  </r>
  <r>
    <n v="1318"/>
    <x v="369"/>
    <x v="13"/>
    <x v="5"/>
    <x v="1"/>
    <n v="0.57999999999999996"/>
    <x v="1"/>
    <n v="205372"/>
    <s v="No"/>
    <s v="Yes"/>
    <d v="2018-03-07T00:00:00"/>
    <n v="6.1833333333333336"/>
  </r>
  <r>
    <n v="1319"/>
    <x v="370"/>
    <x v="30"/>
    <x v="2"/>
    <x v="4"/>
    <n v="0.95"/>
    <x v="3"/>
    <n v="274395"/>
    <s v="No"/>
    <s v="No"/>
    <d v="2020-10-22T00:00:00"/>
    <n v="3.5583333333333331"/>
  </r>
  <r>
    <n v="1320"/>
    <x v="371"/>
    <x v="26"/>
    <x v="5"/>
    <x v="0"/>
    <n v="0.09"/>
    <x v="0"/>
    <n v="194428"/>
    <s v="No"/>
    <s v="No"/>
    <d v="2020-11-03T00:00:00"/>
    <n v="3.5277777777777777"/>
  </r>
  <r>
    <n v="1321"/>
    <x v="372"/>
    <x v="28"/>
    <x v="2"/>
    <x v="4"/>
    <n v="0.66"/>
    <x v="2"/>
    <n v="258068"/>
    <s v="No"/>
    <s v="Yes"/>
    <d v="2019-08-17T00:00:00"/>
    <n v="4.7388888888888889"/>
  </r>
  <r>
    <n v="1322"/>
    <x v="373"/>
    <x v="21"/>
    <x v="1"/>
    <x v="4"/>
    <n v="0.75"/>
    <x v="5"/>
    <n v="236885"/>
    <s v="No"/>
    <s v="Yes"/>
    <d v="2020-12-07T00:00:00"/>
    <n v="3.4333333333333331"/>
  </r>
  <r>
    <n v="1323"/>
    <x v="105"/>
    <x v="42"/>
    <x v="0"/>
    <x v="3"/>
    <n v="0"/>
    <x v="3"/>
    <n v="113507"/>
    <s v="No"/>
    <s v="No"/>
    <d v="2020-09-17T00:00:00"/>
    <n v="3.6555555555555554"/>
  </r>
  <r>
    <n v="1325"/>
    <x v="374"/>
    <x v="9"/>
    <x v="1"/>
    <x v="5"/>
    <n v="0.25"/>
    <x v="3"/>
    <n v="248746"/>
    <s v="No"/>
    <s v="No"/>
    <d v="2018-12-28T00:00:00"/>
    <n v="5.375"/>
  </r>
  <r>
    <n v="1326"/>
    <x v="375"/>
    <x v="48"/>
    <x v="0"/>
    <x v="2"/>
    <n v="0.32"/>
    <x v="0"/>
    <n v="114819"/>
    <s v="No"/>
    <s v="Yes"/>
    <d v="2020-08-27T00:00:00"/>
    <n v="3.7111111111111112"/>
  </r>
  <r>
    <n v="1327"/>
    <x v="376"/>
    <x v="15"/>
    <x v="1"/>
    <x v="1"/>
    <n v="0.61"/>
    <x v="0"/>
    <n v="233960"/>
    <s v="No"/>
    <s v="No"/>
    <d v="2017-09-20T00:00:00"/>
    <n v="6.6472222222222221"/>
  </r>
  <r>
    <n v="1328"/>
    <x v="377"/>
    <x v="4"/>
    <x v="2"/>
    <x v="5"/>
    <n v="0.6"/>
    <x v="5"/>
    <n v="255605"/>
    <s v="No"/>
    <s v="Yes"/>
    <d v="2017-04-29T00:00:00"/>
    <n v="7.0388888888888888"/>
  </r>
  <r>
    <n v="1329"/>
    <x v="378"/>
    <x v="36"/>
    <x v="4"/>
    <x v="4"/>
    <n v="0.74"/>
    <x v="0"/>
    <n v="85119"/>
    <s v="No"/>
    <s v="Yes"/>
    <d v="2018-07-01T00:00:00"/>
    <n v="5.8666666666666663"/>
  </r>
  <r>
    <n v="1330"/>
    <x v="379"/>
    <x v="27"/>
    <x v="4"/>
    <x v="6"/>
    <n v="0.8"/>
    <x v="4"/>
    <n v="81283"/>
    <s v="No"/>
    <s v="Yes"/>
    <d v="2018-05-25T00:00:00"/>
    <n v="5.9666666666666668"/>
  </r>
  <r>
    <n v="1331"/>
    <x v="264"/>
    <x v="34"/>
    <x v="5"/>
    <x v="2"/>
    <n v="0.54"/>
    <x v="4"/>
    <n v="198721"/>
    <s v="No"/>
    <s v="Yes"/>
    <d v="2020-01-01T00:00:00"/>
    <n v="4.3666666666666663"/>
  </r>
  <r>
    <n v="1332"/>
    <x v="380"/>
    <x v="6"/>
    <x v="1"/>
    <x v="7"/>
    <n v="0.94"/>
    <x v="0"/>
    <n v="231255"/>
    <s v="No"/>
    <s v="No"/>
    <d v="2020-07-04T00:00:00"/>
    <n v="3.8583333333333334"/>
  </r>
  <r>
    <n v="1333"/>
    <x v="381"/>
    <x v="2"/>
    <x v="1"/>
    <x v="7"/>
    <n v="0.48"/>
    <x v="0"/>
    <n v="238968"/>
    <s v="No"/>
    <s v="Yes"/>
    <d v="2018-03-28T00:00:00"/>
    <n v="6.125"/>
  </r>
  <r>
    <n v="1334"/>
    <x v="231"/>
    <x v="19"/>
    <x v="4"/>
    <x v="1"/>
    <n v="0.32"/>
    <x v="1"/>
    <n v="79429"/>
    <s v="No"/>
    <s v="Yes"/>
    <d v="2018-05-25T00:00:00"/>
    <n v="5.9666666666666668"/>
  </r>
  <r>
    <n v="1335"/>
    <x v="382"/>
    <x v="17"/>
    <x v="2"/>
    <x v="6"/>
    <n v="0.17"/>
    <x v="1"/>
    <n v="271411"/>
    <s v="No"/>
    <s v="No"/>
    <d v="2019-04-20T00:00:00"/>
    <n v="5.0638888888888891"/>
  </r>
  <r>
    <n v="1337"/>
    <x v="248"/>
    <x v="47"/>
    <x v="4"/>
    <x v="0"/>
    <n v="0.11"/>
    <x v="3"/>
    <n v="66406"/>
    <s v="No"/>
    <s v="No"/>
    <d v="2017-05-16T00:00:00"/>
    <n v="6.9916666666666663"/>
  </r>
  <r>
    <n v="1339"/>
    <x v="383"/>
    <x v="43"/>
    <x v="1"/>
    <x v="1"/>
    <n v="0.36"/>
    <x v="4"/>
    <n v="242694"/>
    <s v="No"/>
    <s v="Yes"/>
    <d v="2019-07-14T00:00:00"/>
    <n v="4.8305555555555557"/>
  </r>
  <r>
    <n v="1340"/>
    <x v="297"/>
    <x v="37"/>
    <x v="5"/>
    <x v="1"/>
    <n v="0.5"/>
    <x v="2"/>
    <n v="192265"/>
    <s v="No"/>
    <s v="No"/>
    <d v="2018-01-06T00:00:00"/>
    <n v="6.3527777777777779"/>
  </r>
  <r>
    <n v="1341"/>
    <x v="388"/>
    <x v="24"/>
    <x v="0"/>
    <x v="3"/>
    <n v="0"/>
    <x v="2"/>
    <n v="117613"/>
    <s v="No"/>
    <s v="Yes"/>
    <d v="2019-11-17T00:00:00"/>
    <n v="4.4888888888888889"/>
  </r>
  <r>
    <n v="1342"/>
    <x v="389"/>
    <x v="0"/>
    <x v="1"/>
    <x v="3"/>
    <n v="0"/>
    <x v="1"/>
    <n v="244660"/>
    <s v="No"/>
    <s v="No"/>
    <d v="2020-09-06T00:00:00"/>
    <n v="3.6861111111111109"/>
  </r>
  <r>
    <n v="1343"/>
    <x v="390"/>
    <x v="20"/>
    <x v="0"/>
    <x v="1"/>
    <n v="0.88"/>
    <x v="4"/>
    <n v="118689"/>
    <s v="No"/>
    <s v="Yes"/>
    <d v="2020-03-06T00:00:00"/>
    <n v="4.1861111111111109"/>
  </r>
  <r>
    <n v="1345"/>
    <x v="391"/>
    <x v="5"/>
    <x v="4"/>
    <x v="4"/>
    <n v="0.74"/>
    <x v="4"/>
    <n v="91192"/>
    <s v="No"/>
    <s v="Yes"/>
    <d v="2020-09-01T00:00:00"/>
    <n v="3.7"/>
  </r>
  <r>
    <n v="1346"/>
    <x v="392"/>
    <x v="16"/>
    <x v="0"/>
    <x v="2"/>
    <n v="0.88"/>
    <x v="4"/>
    <n v="128141"/>
    <s v="No"/>
    <s v="Yes"/>
    <d v="2020-02-06T00:00:00"/>
    <n v="4.2694444444444448"/>
  </r>
  <r>
    <n v="1347"/>
    <x v="393"/>
    <x v="8"/>
    <x v="0"/>
    <x v="7"/>
    <n v="0.66"/>
    <x v="1"/>
    <n v="132193"/>
    <s v="No"/>
    <s v="No"/>
    <d v="2017-12-12T00:00:00"/>
    <n v="6.4194444444444443"/>
  </r>
  <r>
    <n v="1348"/>
    <x v="394"/>
    <x v="29"/>
    <x v="1"/>
    <x v="6"/>
    <n v="0.01"/>
    <x v="3"/>
    <n v="236491"/>
    <s v="No"/>
    <s v="No"/>
    <d v="2018-05-30T00:00:00"/>
    <n v="5.9527777777777775"/>
  </r>
  <r>
    <n v="1349"/>
    <x v="395"/>
    <x v="40"/>
    <x v="2"/>
    <x v="2"/>
    <n v="0.85"/>
    <x v="1"/>
    <n v="255261"/>
    <s v="No"/>
    <s v="Yes"/>
    <d v="2020-08-12T00:00:00"/>
    <n v="3.7527777777777778"/>
  </r>
  <r>
    <n v="1350"/>
    <x v="396"/>
    <x v="34"/>
    <x v="2"/>
    <x v="7"/>
    <n v="0.63"/>
    <x v="5"/>
    <n v="273761"/>
    <s v="No"/>
    <s v="Yes"/>
    <d v="2019-03-07T00:00:00"/>
    <n v="5.18333333333333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8C446-42CC-4906-A4CC-24FD24494F85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10" firstHeaderRow="1" firstDataRow="1" firstDataCol="1"/>
  <pivotFields count="12">
    <pivotField dataField="1" showAll="0"/>
    <pivotField showAll="0"/>
    <pivotField showAll="0"/>
    <pivotField showAll="0"/>
    <pivotField showAll="0"/>
    <pivotField numFmtId="9" showAll="0"/>
    <pivotField axis="axisRow" showAll="0">
      <items count="7">
        <item x="0"/>
        <item x="2"/>
        <item x="3"/>
        <item x="1"/>
        <item x="4"/>
        <item x="5"/>
        <item t="default"/>
      </items>
    </pivotField>
    <pivotField numFmtId="164" showAll="0"/>
    <pivotField showAll="0"/>
    <pivotField showAll="0"/>
    <pivotField numFmtId="14" showAll="0"/>
    <pivotField numFmtId="1" showAl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Employee ID" fld="0" subtotal="count" baseField="5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C34E45-7D87-45A4-B231-8638A8BBF98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A3:B13" firstHeaderRow="1" firstDataRow="1" firstDataCol="1"/>
  <pivotFields count="12">
    <pivotField showAll="0"/>
    <pivotField showAll="0"/>
    <pivotField showAll="0"/>
    <pivotField showAll="0"/>
    <pivotField axis="axisRow" showAll="0">
      <items count="11">
        <item x="8"/>
        <item x="4"/>
        <item x="5"/>
        <item x="6"/>
        <item x="7"/>
        <item x="3"/>
        <item x="2"/>
        <item x="1"/>
        <item x="0"/>
        <item m="1" x="9"/>
        <item t="default"/>
      </items>
    </pivotField>
    <pivotField numFmtId="9" showAll="0"/>
    <pivotField showAll="0"/>
    <pivotField dataField="1" numFmtId="164" showAll="0"/>
    <pivotField showAll="0"/>
    <pivotField showAll="0"/>
    <pivotField numFmtId="14" showAll="0"/>
    <pivotField numFmtId="1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Salary $ (Yearly)" fld="7" baseField="0" baseItem="0" numFmtId="165"/>
  </dataFields>
  <formats count="1">
    <format dxfId="3">
      <pivotArea outline="0" collapsedLevelsAreSubtotals="1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0E5EF-9B11-4456-A1DB-900CE176882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A3:B12" firstHeaderRow="1" firstDataRow="1" firstDataCol="1"/>
  <pivotFields count="12">
    <pivotField showAll="0"/>
    <pivotField showAll="0"/>
    <pivotField showAll="0"/>
    <pivotField axis="axisRow" showAll="0">
      <items count="10">
        <item x="7"/>
        <item x="3"/>
        <item x="4"/>
        <item x="5"/>
        <item x="2"/>
        <item x="0"/>
        <item x="1"/>
        <item x="6"/>
        <item m="1" x="8"/>
        <item t="default"/>
      </items>
    </pivotField>
    <pivotField showAll="0"/>
    <pivotField numFmtId="9" showAll="0"/>
    <pivotField showAll="0"/>
    <pivotField dataField="1" numFmtId="164" showAll="0"/>
    <pivotField showAll="0"/>
    <pivotField showAll="0"/>
    <pivotField numFmtId="14" showAll="0"/>
    <pivotField numFmtId="1"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Average of Salary $ (Yearly)" fld="7" subtotal="average" baseField="2" baseItem="4"/>
  </dataFields>
  <formats count="1">
    <format dxfId="2">
      <pivotArea outline="0" collapsedLevelsAreSubtotals="1" fieldPosition="0"/>
    </format>
  </formats>
  <chartFormats count="4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133E65-BB7F-4C84-9CF9-F06A4895A645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14" firstHeaderRow="1" firstDataRow="1" firstDataCol="1"/>
  <pivotFields count="12">
    <pivotField showAll="0"/>
    <pivotField axis="axisRow" showAll="0" measureFilter="1">
      <items count="399">
        <item x="22"/>
        <item x="70"/>
        <item x="240"/>
        <item x="151"/>
        <item x="349"/>
        <item x="296"/>
        <item x="273"/>
        <item x="193"/>
        <item x="309"/>
        <item x="376"/>
        <item x="259"/>
        <item x="319"/>
        <item x="131"/>
        <item x="304"/>
        <item x="199"/>
        <item x="165"/>
        <item x="268"/>
        <item x="2"/>
        <item x="117"/>
        <item x="98"/>
        <item x="9"/>
        <item x="282"/>
        <item x="102"/>
        <item x="109"/>
        <item x="103"/>
        <item x="127"/>
        <item x="392"/>
        <item x="257"/>
        <item x="35"/>
        <item x="111"/>
        <item x="125"/>
        <item x="331"/>
        <item x="299"/>
        <item x="24"/>
        <item x="234"/>
        <item x="120"/>
        <item x="94"/>
        <item x="88"/>
        <item x="44"/>
        <item x="29"/>
        <item x="10"/>
        <item x="85"/>
        <item x="80"/>
        <item x="247"/>
        <item x="383"/>
        <item x="157"/>
        <item x="335"/>
        <item x="116"/>
        <item x="284"/>
        <item x="380"/>
        <item x="171"/>
        <item x="180"/>
        <item x="235"/>
        <item x="385"/>
        <item x="49"/>
        <item x="339"/>
        <item x="59"/>
        <item x="3"/>
        <item x="362"/>
        <item x="14"/>
        <item x="152"/>
        <item x="160"/>
        <item x="368"/>
        <item x="391"/>
        <item x="150"/>
        <item x="164"/>
        <item x="200"/>
        <item x="184"/>
        <item x="169"/>
        <item x="55"/>
        <item x="238"/>
        <item x="333"/>
        <item x="363"/>
        <item x="133"/>
        <item x="64"/>
        <item x="20"/>
        <item x="139"/>
        <item x="241"/>
        <item x="314"/>
        <item x="97"/>
        <item x="196"/>
        <item x="105"/>
        <item x="155"/>
        <item x="86"/>
        <item x="83"/>
        <item x="394"/>
        <item x="175"/>
        <item x="274"/>
        <item x="214"/>
        <item x="253"/>
        <item x="134"/>
        <item x="92"/>
        <item x="179"/>
        <item x="5"/>
        <item x="112"/>
        <item x="322"/>
        <item x="161"/>
        <item x="328"/>
        <item x="63"/>
        <item x="106"/>
        <item x="25"/>
        <item x="211"/>
        <item x="225"/>
        <item x="387"/>
        <item x="162"/>
        <item x="364"/>
        <item x="272"/>
        <item x="311"/>
        <item x="38"/>
        <item x="74"/>
        <item x="205"/>
        <item x="104"/>
        <item x="31"/>
        <item x="330"/>
        <item x="377"/>
        <item x="357"/>
        <item x="250"/>
        <item x="73"/>
        <item x="219"/>
        <item x="370"/>
        <item x="318"/>
        <item x="287"/>
        <item x="204"/>
        <item x="18"/>
        <item x="347"/>
        <item x="255"/>
        <item x="39"/>
        <item x="119"/>
        <item x="79"/>
        <item x="344"/>
        <item x="231"/>
        <item x="37"/>
        <item x="276"/>
        <item x="228"/>
        <item x="340"/>
        <item x="99"/>
        <item x="121"/>
        <item x="360"/>
        <item x="1"/>
        <item x="56"/>
        <item x="145"/>
        <item x="395"/>
        <item x="280"/>
        <item x="178"/>
        <item x="108"/>
        <item x="46"/>
        <item x="308"/>
        <item x="306"/>
        <item x="194"/>
        <item x="129"/>
        <item x="326"/>
        <item x="252"/>
        <item x="275"/>
        <item x="353"/>
        <item x="163"/>
        <item x="176"/>
        <item x="6"/>
        <item x="317"/>
        <item x="232"/>
        <item x="191"/>
        <item x="298"/>
        <item x="251"/>
        <item x="277"/>
        <item x="128"/>
        <item x="149"/>
        <item x="132"/>
        <item x="359"/>
        <item x="224"/>
        <item x="177"/>
        <item x="267"/>
        <item x="384"/>
        <item x="312"/>
        <item x="323"/>
        <item x="187"/>
        <item x="343"/>
        <item x="246"/>
        <item x="356"/>
        <item x="153"/>
        <item x="302"/>
        <item x="216"/>
        <item x="371"/>
        <item x="174"/>
        <item x="382"/>
        <item x="265"/>
        <item x="373"/>
        <item x="338"/>
        <item x="218"/>
        <item x="197"/>
        <item x="262"/>
        <item x="203"/>
        <item x="381"/>
        <item x="367"/>
        <item x="144"/>
        <item x="237"/>
        <item x="189"/>
        <item x="279"/>
        <item x="345"/>
        <item x="212"/>
        <item x="374"/>
        <item x="286"/>
        <item x="337"/>
        <item x="350"/>
        <item x="233"/>
        <item x="244"/>
        <item x="301"/>
        <item x="388"/>
        <item x="28"/>
        <item x="17"/>
        <item x="114"/>
        <item x="32"/>
        <item x="113"/>
        <item x="239"/>
        <item x="352"/>
        <item x="95"/>
        <item x="66"/>
        <item x="69"/>
        <item x="90"/>
        <item x="393"/>
        <item x="42"/>
        <item x="0"/>
        <item x="19"/>
        <item x="243"/>
        <item x="254"/>
        <item x="45"/>
        <item x="166"/>
        <item x="47"/>
        <item x="89"/>
        <item x="146"/>
        <item x="26"/>
        <item x="8"/>
        <item x="101"/>
        <item x="351"/>
        <item x="185"/>
        <item x="292"/>
        <item x="68"/>
        <item x="303"/>
        <item x="33"/>
        <item x="249"/>
        <item x="283"/>
        <item x="365"/>
        <item x="295"/>
        <item x="230"/>
        <item x="307"/>
        <item x="336"/>
        <item x="210"/>
        <item x="67"/>
        <item x="140"/>
        <item x="142"/>
        <item x="48"/>
        <item x="300"/>
        <item x="386"/>
        <item x="341"/>
        <item x="21"/>
        <item x="71"/>
        <item x="36"/>
        <item x="172"/>
        <item x="206"/>
        <item x="78"/>
        <item x="201"/>
        <item x="159"/>
        <item x="320"/>
        <item x="316"/>
        <item x="136"/>
        <item x="288"/>
        <item x="52"/>
        <item x="7"/>
        <item x="130"/>
        <item x="11"/>
        <item x="76"/>
        <item x="348"/>
        <item x="87"/>
        <item x="53"/>
        <item x="327"/>
        <item x="115"/>
        <item x="213"/>
        <item x="126"/>
        <item x="221"/>
        <item x="263"/>
        <item x="13"/>
        <item x="390"/>
        <item x="170"/>
        <item x="138"/>
        <item x="346"/>
        <item x="34"/>
        <item x="118"/>
        <item x="154"/>
        <item x="40"/>
        <item x="242"/>
        <item x="361"/>
        <item x="389"/>
        <item x="57"/>
        <item x="91"/>
        <item x="332"/>
        <item x="158"/>
        <item x="209"/>
        <item x="358"/>
        <item x="220"/>
        <item x="329"/>
        <item x="271"/>
        <item x="369"/>
        <item x="372"/>
        <item x="15"/>
        <item x="122"/>
        <item x="41"/>
        <item x="269"/>
        <item x="173"/>
        <item x="236"/>
        <item x="258"/>
        <item x="186"/>
        <item x="266"/>
        <item x="198"/>
        <item x="12"/>
        <item x="182"/>
        <item x="396"/>
        <item x="293"/>
        <item x="379"/>
        <item x="156"/>
        <item x="229"/>
        <item x="148"/>
        <item x="208"/>
        <item x="30"/>
        <item x="50"/>
        <item x="61"/>
        <item x="248"/>
        <item x="222"/>
        <item x="305"/>
        <item x="325"/>
        <item x="183"/>
        <item x="310"/>
        <item x="226"/>
        <item x="137"/>
        <item x="167"/>
        <item x="81"/>
        <item x="96"/>
        <item x="355"/>
        <item x="289"/>
        <item x="141"/>
        <item x="223"/>
        <item x="342"/>
        <item x="245"/>
        <item x="188"/>
        <item x="375"/>
        <item x="54"/>
        <item x="190"/>
        <item x="62"/>
        <item x="217"/>
        <item x="202"/>
        <item x="135"/>
        <item x="181"/>
        <item x="72"/>
        <item x="334"/>
        <item x="270"/>
        <item x="290"/>
        <item x="51"/>
        <item x="75"/>
        <item x="123"/>
        <item x="16"/>
        <item x="313"/>
        <item x="264"/>
        <item x="256"/>
        <item x="4"/>
        <item x="84"/>
        <item x="107"/>
        <item x="27"/>
        <item x="58"/>
        <item x="124"/>
        <item x="260"/>
        <item x="291"/>
        <item x="207"/>
        <item x="65"/>
        <item x="110"/>
        <item x="324"/>
        <item x="281"/>
        <item x="354"/>
        <item x="315"/>
        <item x="294"/>
        <item x="378"/>
        <item x="60"/>
        <item x="82"/>
        <item x="168"/>
        <item x="285"/>
        <item x="195"/>
        <item x="23"/>
        <item x="100"/>
        <item x="147"/>
        <item x="192"/>
        <item x="278"/>
        <item x="227"/>
        <item x="366"/>
        <item x="143"/>
        <item x="93"/>
        <item x="77"/>
        <item x="261"/>
        <item x="215"/>
        <item x="43"/>
        <item x="297"/>
        <item x="321"/>
        <item m="1" x="397"/>
        <item t="default"/>
      </items>
    </pivotField>
    <pivotField showAll="0"/>
    <pivotField showAll="0"/>
    <pivotField showAll="0"/>
    <pivotField numFmtId="9" showAll="0"/>
    <pivotField showAll="0"/>
    <pivotField dataField="1" numFmtId="164" showAll="0"/>
    <pivotField showAll="0"/>
    <pivotField showAll="0"/>
    <pivotField numFmtId="14" showAll="0"/>
    <pivotField numFmtId="1" showAll="0"/>
  </pivotFields>
  <rowFields count="1">
    <field x="1"/>
  </rowFields>
  <rowItems count="11">
    <i>
      <x v="67"/>
    </i>
    <i>
      <x v="149"/>
    </i>
    <i>
      <x v="168"/>
    </i>
    <i>
      <x v="269"/>
    </i>
    <i>
      <x v="304"/>
    </i>
    <i>
      <x v="305"/>
    </i>
    <i>
      <x v="323"/>
    </i>
    <i>
      <x v="340"/>
    </i>
    <i>
      <x v="389"/>
    </i>
    <i>
      <x v="390"/>
    </i>
    <i t="grand">
      <x/>
    </i>
  </rowItems>
  <colItems count="1">
    <i/>
  </colItems>
  <dataFields count="1">
    <dataField name="Sum of Salary $ (Yearly)" fld="7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C98D4F-51C7-4505-831D-5758D00E111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9">
  <location ref="A3:B54" firstHeaderRow="1" firstDataRow="1" firstDataCol="1"/>
  <pivotFields count="12">
    <pivotField compact="0" outline="0" showAll="0"/>
    <pivotField dataField="1" compact="0" outline="0" showAll="0"/>
    <pivotField axis="axisRow" compact="0" outline="0" showAll="0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m="1" x="50"/>
        <item t="default"/>
      </items>
    </pivotField>
    <pivotField compact="0" outline="0" showAll="0"/>
    <pivotField compact="0" outline="0" showAll="0"/>
    <pivotField compact="0" numFmtId="9" outline="0" showAll="0"/>
    <pivotField compact="0" outline="0" showAll="0"/>
    <pivotField compact="0" numFmtId="164" outline="0" showAll="0"/>
    <pivotField compact="0" outline="0" showAll="0"/>
    <pivotField compact="0" outline="0" showAll="0"/>
    <pivotField compact="0" numFmtId="14" outline="0" showAll="0" sortType="ascending"/>
    <pivotField compact="0" numFmtId="1" outline="0" showAll="0"/>
  </pivotFields>
  <rowFields count="1">
    <field x="2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Count of Name " fld="1" subtotal="count" baseField="0" baseItem="0"/>
  </dataFields>
  <formats count="1">
    <format dxfId="0">
      <pivotArea outline="0" collapsedLevelsAreSubtotals="1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96F21A-BFFB-4EE1-90CE-5B001375E5DA}" name="datatable" displayName="datatable" ref="A1:L514" totalsRowShown="0" headerRowDxfId="16">
  <autoFilter ref="A1:L514" xr:uid="{00000000-0001-0000-0200-000000000000}"/>
  <tableColumns count="12">
    <tableColumn id="1" xr3:uid="{BD6CED91-50E8-4452-95CC-3B51346A15F4}" name="Employee ID" dataDxfId="15"/>
    <tableColumn id="11" xr3:uid="{9BAA56D3-8E8E-4C2D-84C9-5315AE0788D2}" name="Name " dataDxfId="14"/>
    <tableColumn id="12" xr3:uid="{5E86139C-BB4A-442E-B039-E78F66835A6C}" name="State" dataDxfId="13"/>
    <tableColumn id="2" xr3:uid="{B6873018-59BF-4D4B-B0E2-34726C5DE97E}" name="Rank" dataDxfId="12"/>
    <tableColumn id="3" xr3:uid="{1ACB433A-6C91-4D21-B2FC-DDB0F1CA2016}" name="Department" dataDxfId="11"/>
    <tableColumn id="4" xr3:uid="{E413F0DD-628B-4290-9238-626587301C6A}" name="WFH % in 2020" dataDxfId="10" dataCellStyle="Percent"/>
    <tableColumn id="5" xr3:uid="{2216F118-72E4-437F-BF3F-8F5EEBFE856A}" name="Number of kids" dataDxfId="9"/>
    <tableColumn id="6" xr3:uid="{18A18D47-C3E6-4AE7-9143-A5122B9CC444}" name="Salary $ (Yearly)" dataDxfId="8" dataCellStyle="Currency"/>
    <tableColumn id="7" xr3:uid="{C53C5EFE-8DCD-4DA0-AF0F-20C5F6D6D54A}" name="Received Bonus in 2020?" dataDxfId="7"/>
    <tableColumn id="8" xr3:uid="{133EF6D3-AB09-4AA8-B8D4-10965495D8A8}" name="Satisfied from job" dataDxfId="6"/>
    <tableColumn id="9" xr3:uid="{004FA42E-3292-4B3C-83BC-4C8B28A273D4}" name="Employment Start Date" dataDxfId="5"/>
    <tableColumn id="10" xr3:uid="{04B945DF-0086-48B0-9627-4F4901880CBF}" name="Years in Company" dataDxfId="4">
      <calculatedColumnFormula>YEARFRAC(K2,TODAY())</calculatedColumnFormula>
    </tableColumn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CB334-9672-4615-A70C-C5EA4F71388F}">
  <sheetPr codeName="Sheet4"/>
  <dimension ref="A3:B10"/>
  <sheetViews>
    <sheetView workbookViewId="0">
      <selection activeCell="B26" sqref="B26"/>
    </sheetView>
  </sheetViews>
  <sheetFormatPr defaultRowHeight="15" x14ac:dyDescent="0.25"/>
  <cols>
    <col min="1" max="1" width="13.140625" bestFit="1" customWidth="1"/>
    <col min="2" max="2" width="20.42578125" bestFit="1" customWidth="1"/>
  </cols>
  <sheetData>
    <row r="3" spans="1:2" x14ac:dyDescent="0.25">
      <c r="A3" s="16" t="s">
        <v>426</v>
      </c>
      <c r="B3" t="s">
        <v>430</v>
      </c>
    </row>
    <row r="4" spans="1:2" x14ac:dyDescent="0.25">
      <c r="A4" s="17">
        <v>0</v>
      </c>
      <c r="B4">
        <v>104</v>
      </c>
    </row>
    <row r="5" spans="1:2" x14ac:dyDescent="0.25">
      <c r="A5" s="17">
        <v>1</v>
      </c>
      <c r="B5">
        <v>100</v>
      </c>
    </row>
    <row r="6" spans="1:2" x14ac:dyDescent="0.25">
      <c r="A6" s="17">
        <v>2</v>
      </c>
      <c r="B6">
        <v>108</v>
      </c>
    </row>
    <row r="7" spans="1:2" x14ac:dyDescent="0.25">
      <c r="A7" s="17">
        <v>3</v>
      </c>
      <c r="B7">
        <v>99</v>
      </c>
    </row>
    <row r="8" spans="1:2" x14ac:dyDescent="0.25">
      <c r="A8" s="17">
        <v>4</v>
      </c>
      <c r="B8">
        <v>52</v>
      </c>
    </row>
    <row r="9" spans="1:2" x14ac:dyDescent="0.25">
      <c r="A9" s="17">
        <v>5</v>
      </c>
      <c r="B9">
        <v>50</v>
      </c>
    </row>
    <row r="10" spans="1:2" x14ac:dyDescent="0.25">
      <c r="A10" s="17" t="s">
        <v>427</v>
      </c>
      <c r="B10">
        <v>513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DD7A6-4E3A-411A-ABCF-B7ADADBE59BC}">
  <sheetPr codeName="Sheet3"/>
  <dimension ref="A1:AC48"/>
  <sheetViews>
    <sheetView showRowColHeaders="0" tabSelected="1" workbookViewId="0">
      <selection activeCell="J48" sqref="J48"/>
    </sheetView>
  </sheetViews>
  <sheetFormatPr defaultColWidth="0" defaultRowHeight="15" zeroHeight="1" x14ac:dyDescent="0.25"/>
  <cols>
    <col min="1" max="29" width="9.140625" customWidth="1"/>
    <col min="30" max="16384" width="9.140625" hidden="1"/>
  </cols>
  <sheetData>
    <row r="1" spans="9:29" x14ac:dyDescent="0.25"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8"/>
    </row>
    <row r="2" spans="9:29" x14ac:dyDescent="0.25"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8"/>
    </row>
    <row r="3" spans="9:29" x14ac:dyDescent="0.25"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8"/>
    </row>
    <row r="4" spans="9:29" x14ac:dyDescent="0.25"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8"/>
    </row>
    <row r="5" spans="9:29" x14ac:dyDescent="0.25"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8"/>
    </row>
    <row r="6" spans="9:29" x14ac:dyDescent="0.25"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8"/>
    </row>
    <row r="7" spans="9:29" x14ac:dyDescent="0.25"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8"/>
    </row>
    <row r="8" spans="9:29" x14ac:dyDescent="0.25"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8"/>
    </row>
    <row r="9" spans="9:29" x14ac:dyDescent="0.25"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8"/>
    </row>
    <row r="10" spans="9:29" x14ac:dyDescent="0.25"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8"/>
    </row>
    <row r="11" spans="9:29" x14ac:dyDescent="0.25"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8"/>
    </row>
    <row r="12" spans="9:29" x14ac:dyDescent="0.25"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8"/>
    </row>
    <row r="13" spans="9:29" x14ac:dyDescent="0.25"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8"/>
    </row>
    <row r="14" spans="9:29" x14ac:dyDescent="0.25"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8"/>
    </row>
    <row r="15" spans="9:29" x14ac:dyDescent="0.25"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8"/>
    </row>
    <row r="16" spans="9:29" x14ac:dyDescent="0.25"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8"/>
    </row>
    <row r="17" spans="9:29" x14ac:dyDescent="0.25"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8"/>
    </row>
    <row r="18" spans="9:29" x14ac:dyDescent="0.25"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8"/>
    </row>
    <row r="19" spans="9:29" x14ac:dyDescent="0.25"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8"/>
    </row>
    <row r="20" spans="9:29" x14ac:dyDescent="0.25"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8"/>
    </row>
    <row r="21" spans="9:29" x14ac:dyDescent="0.25"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8"/>
    </row>
    <row r="22" spans="9:29" x14ac:dyDescent="0.25"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8"/>
    </row>
    <row r="23" spans="9:29" x14ac:dyDescent="0.25"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8"/>
    </row>
    <row r="24" spans="9:29" x14ac:dyDescent="0.25"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8"/>
    </row>
    <row r="25" spans="9:29" x14ac:dyDescent="0.25"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8"/>
    </row>
    <row r="26" spans="9:29" x14ac:dyDescent="0.25"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8"/>
    </row>
    <row r="27" spans="9:29" x14ac:dyDescent="0.25"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8"/>
    </row>
    <row r="28" spans="9:29" x14ac:dyDescent="0.25"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8"/>
    </row>
    <row r="29" spans="9:29" x14ac:dyDescent="0.25"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8"/>
    </row>
    <row r="30" spans="9:29" x14ac:dyDescent="0.25"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8"/>
    </row>
    <row r="31" spans="9:29" x14ac:dyDescent="0.25"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8"/>
    </row>
    <row r="32" spans="9:29" x14ac:dyDescent="0.25"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8"/>
    </row>
    <row r="33" spans="1:29" x14ac:dyDescent="0.25"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8"/>
    </row>
    <row r="34" spans="1:29" x14ac:dyDescent="0.25"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8"/>
    </row>
    <row r="35" spans="1:29" x14ac:dyDescent="0.25"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8"/>
    </row>
    <row r="36" spans="1:29" x14ac:dyDescent="0.25"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8"/>
    </row>
    <row r="37" spans="1:29" x14ac:dyDescent="0.25"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8"/>
    </row>
    <row r="38" spans="1:29" x14ac:dyDescent="0.25"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8"/>
    </row>
    <row r="39" spans="1:29" x14ac:dyDescent="0.25"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8"/>
    </row>
    <row r="40" spans="1:29" x14ac:dyDescent="0.25"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8"/>
    </row>
    <row r="41" spans="1:29" x14ac:dyDescent="0.25"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8"/>
    </row>
    <row r="42" spans="1:29" x14ac:dyDescent="0.25"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8"/>
    </row>
    <row r="43" spans="1:29" x14ac:dyDescent="0.25"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8"/>
    </row>
    <row r="44" spans="1:29" x14ac:dyDescent="0.25"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8"/>
    </row>
    <row r="45" spans="1:29" x14ac:dyDescent="0.25"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8"/>
    </row>
    <row r="46" spans="1:29" x14ac:dyDescent="0.25"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8"/>
    </row>
    <row r="47" spans="1:29" x14ac:dyDescent="0.25"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8"/>
    </row>
    <row r="48" spans="1:29" x14ac:dyDescent="0.25">
      <c r="A48" s="11"/>
      <c r="B48" s="11"/>
      <c r="C48" s="11"/>
      <c r="D48" s="11"/>
      <c r="E48" s="11"/>
      <c r="F48" s="11"/>
      <c r="G48" s="11"/>
      <c r="H48" s="11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3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ComboBox1">
          <controlPr defaultSize="0" autoLine="0" linkedCell="WorkSheet!C1" listFillRange="employes" r:id="rId4">
            <anchor moveWithCells="1">
              <from>
                <xdr:col>19</xdr:col>
                <xdr:colOff>342900</xdr:colOff>
                <xdr:row>7</xdr:row>
                <xdr:rowOff>104775</xdr:rowOff>
              </from>
              <to>
                <xdr:col>24</xdr:col>
                <xdr:colOff>361950</xdr:colOff>
                <xdr:row>10</xdr:row>
                <xdr:rowOff>9525</xdr:rowOff>
              </to>
            </anchor>
          </controlPr>
        </control>
      </mc:Choice>
      <mc:Fallback>
        <control shapeId="13314" r:id="rId3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514"/>
  <sheetViews>
    <sheetView zoomScale="93" zoomScaleNormal="93" workbookViewId="0">
      <selection activeCell="I54" sqref="I54"/>
    </sheetView>
  </sheetViews>
  <sheetFormatPr defaultColWidth="26.42578125" defaultRowHeight="15" x14ac:dyDescent="0.25"/>
  <cols>
    <col min="4" max="5" width="26.42578125" style="4"/>
    <col min="6" max="6" width="26.42578125" style="6"/>
    <col min="7" max="7" width="26.42578125" style="4"/>
    <col min="9" max="11" width="26.42578125" style="4"/>
  </cols>
  <sheetData>
    <row r="1" spans="1:13" x14ac:dyDescent="0.25">
      <c r="A1" s="7" t="s">
        <v>5</v>
      </c>
      <c r="B1" s="8" t="s">
        <v>28</v>
      </c>
      <c r="C1" s="8" t="s">
        <v>435</v>
      </c>
      <c r="D1" s="8" t="s">
        <v>7</v>
      </c>
      <c r="E1" s="8" t="s">
        <v>0</v>
      </c>
      <c r="F1" s="9" t="s">
        <v>23</v>
      </c>
      <c r="G1" s="8" t="s">
        <v>22</v>
      </c>
      <c r="H1" s="8" t="s">
        <v>25</v>
      </c>
      <c r="I1" s="8" t="s">
        <v>24</v>
      </c>
      <c r="J1" s="8" t="s">
        <v>6</v>
      </c>
      <c r="K1" s="8" t="s">
        <v>26</v>
      </c>
      <c r="L1" s="7" t="s">
        <v>27</v>
      </c>
    </row>
    <row r="2" spans="1:13" x14ac:dyDescent="0.25">
      <c r="A2" s="4">
        <v>1</v>
      </c>
      <c r="B2" s="4" t="s">
        <v>29</v>
      </c>
      <c r="C2" s="4" t="s">
        <v>436</v>
      </c>
      <c r="D2" s="4" t="s">
        <v>9</v>
      </c>
      <c r="E2" s="4" t="s">
        <v>15</v>
      </c>
      <c r="F2" s="6">
        <v>0.37</v>
      </c>
      <c r="G2" s="4">
        <v>0</v>
      </c>
      <c r="H2" s="2">
        <v>141193</v>
      </c>
      <c r="I2" s="4" t="s">
        <v>1</v>
      </c>
      <c r="J2" s="4" t="s">
        <v>2</v>
      </c>
      <c r="K2" s="5">
        <v>43879</v>
      </c>
      <c r="L2" s="3">
        <f ca="1">YEARFRAC(K2,TODAY())</f>
        <v>4.2388888888888889</v>
      </c>
      <c r="M2" s="1"/>
    </row>
    <row r="3" spans="1:13" x14ac:dyDescent="0.25">
      <c r="A3" s="4">
        <v>2</v>
      </c>
      <c r="B3" s="4" t="s">
        <v>30</v>
      </c>
      <c r="C3" s="4" t="s">
        <v>437</v>
      </c>
      <c r="D3" s="4" t="s">
        <v>14</v>
      </c>
      <c r="E3" s="4" t="s">
        <v>3</v>
      </c>
      <c r="F3" s="6">
        <v>0.52</v>
      </c>
      <c r="G3" s="4">
        <v>3</v>
      </c>
      <c r="H3" s="2">
        <v>236495</v>
      </c>
      <c r="I3" s="4" t="s">
        <v>2</v>
      </c>
      <c r="J3" s="4" t="s">
        <v>2</v>
      </c>
      <c r="K3" s="5">
        <v>43583</v>
      </c>
      <c r="L3" s="3">
        <f t="shared" ref="L3:L66" ca="1" si="0">YEARFRAC(K3,TODAY())</f>
        <v>5.0444444444444443</v>
      </c>
    </row>
    <row r="4" spans="1:13" x14ac:dyDescent="0.25">
      <c r="A4" s="4">
        <v>3</v>
      </c>
      <c r="B4" s="4" t="s">
        <v>31</v>
      </c>
      <c r="C4" s="4" t="s">
        <v>438</v>
      </c>
      <c r="D4" s="4" t="s">
        <v>10</v>
      </c>
      <c r="E4" s="4" t="s">
        <v>15</v>
      </c>
      <c r="F4" s="6">
        <v>0.5</v>
      </c>
      <c r="G4" s="4">
        <v>3</v>
      </c>
      <c r="H4" s="2">
        <v>253259</v>
      </c>
      <c r="I4" s="4" t="s">
        <v>2</v>
      </c>
      <c r="J4" s="4" t="s">
        <v>1</v>
      </c>
      <c r="K4" s="5">
        <v>43551</v>
      </c>
      <c r="L4" s="3">
        <f t="shared" ca="1" si="0"/>
        <v>5.1305555555555555</v>
      </c>
    </row>
    <row r="5" spans="1:13" x14ac:dyDescent="0.25">
      <c r="A5" s="4">
        <v>4</v>
      </c>
      <c r="B5" s="4" t="s">
        <v>32</v>
      </c>
      <c r="C5" s="4" t="s">
        <v>439</v>
      </c>
      <c r="D5" s="4" t="s">
        <v>11</v>
      </c>
      <c r="E5" s="4" t="s">
        <v>21</v>
      </c>
      <c r="F5" s="6">
        <v>0.83</v>
      </c>
      <c r="G5" s="4">
        <v>1</v>
      </c>
      <c r="H5" s="2">
        <v>287793</v>
      </c>
      <c r="I5" s="4" t="s">
        <v>1</v>
      </c>
      <c r="J5" s="4" t="s">
        <v>1</v>
      </c>
      <c r="K5" s="5">
        <v>42887</v>
      </c>
      <c r="L5" s="3">
        <f t="shared" ca="1" si="0"/>
        <v>6.9527777777777775</v>
      </c>
    </row>
    <row r="6" spans="1:13" x14ac:dyDescent="0.25">
      <c r="A6" s="4">
        <v>5</v>
      </c>
      <c r="B6" s="4" t="s">
        <v>33</v>
      </c>
      <c r="C6" s="4" t="s">
        <v>440</v>
      </c>
      <c r="D6" s="4" t="s">
        <v>9</v>
      </c>
      <c r="E6" s="4" t="s">
        <v>19</v>
      </c>
      <c r="F6" s="6">
        <v>0</v>
      </c>
      <c r="G6" s="4">
        <v>2</v>
      </c>
      <c r="H6" s="2">
        <v>108008</v>
      </c>
      <c r="I6" s="4" t="s">
        <v>2</v>
      </c>
      <c r="J6" s="4" t="s">
        <v>2</v>
      </c>
      <c r="K6" s="5">
        <v>43950</v>
      </c>
      <c r="L6" s="3">
        <f t="shared" ca="1" si="0"/>
        <v>4.041666666666667</v>
      </c>
    </row>
    <row r="7" spans="1:13" x14ac:dyDescent="0.25">
      <c r="A7" s="4">
        <v>6</v>
      </c>
      <c r="B7" s="4" t="s">
        <v>34</v>
      </c>
      <c r="C7" s="4" t="s">
        <v>441</v>
      </c>
      <c r="D7" s="4" t="s">
        <v>8</v>
      </c>
      <c r="E7" s="4" t="s">
        <v>16</v>
      </c>
      <c r="F7" s="6">
        <v>0.48</v>
      </c>
      <c r="G7" s="4">
        <v>4</v>
      </c>
      <c r="H7" s="2">
        <v>60578</v>
      </c>
      <c r="I7" s="4" t="s">
        <v>2</v>
      </c>
      <c r="J7" s="4" t="s">
        <v>1</v>
      </c>
      <c r="K7" s="5">
        <v>43807</v>
      </c>
      <c r="L7" s="3">
        <f t="shared" ca="1" si="0"/>
        <v>4.4333333333333336</v>
      </c>
    </row>
    <row r="8" spans="1:13" x14ac:dyDescent="0.25">
      <c r="A8" s="4">
        <v>7</v>
      </c>
      <c r="B8" s="4" t="s">
        <v>35</v>
      </c>
      <c r="C8" s="4" t="s">
        <v>442</v>
      </c>
      <c r="D8" s="4" t="s">
        <v>11</v>
      </c>
      <c r="E8" s="4" t="s">
        <v>16</v>
      </c>
      <c r="F8" s="6">
        <v>0.88</v>
      </c>
      <c r="G8" s="4">
        <v>1</v>
      </c>
      <c r="H8" s="2">
        <v>286794</v>
      </c>
      <c r="I8" s="4" t="s">
        <v>1</v>
      </c>
      <c r="J8" s="4" t="s">
        <v>2</v>
      </c>
      <c r="K8" s="5">
        <v>43647</v>
      </c>
      <c r="L8" s="3">
        <f t="shared" ca="1" si="0"/>
        <v>4.8694444444444445</v>
      </c>
    </row>
    <row r="9" spans="1:13" x14ac:dyDescent="0.25">
      <c r="A9" s="4">
        <v>8</v>
      </c>
      <c r="B9" s="4" t="s">
        <v>36</v>
      </c>
      <c r="C9" s="4" t="s">
        <v>443</v>
      </c>
      <c r="D9" s="4" t="s">
        <v>14</v>
      </c>
      <c r="E9" s="4" t="s">
        <v>17</v>
      </c>
      <c r="F9" s="6">
        <v>0.54</v>
      </c>
      <c r="G9" s="4">
        <v>2</v>
      </c>
      <c r="H9" s="2">
        <v>234369</v>
      </c>
      <c r="I9" s="4" t="s">
        <v>2</v>
      </c>
      <c r="J9" s="4" t="s">
        <v>2</v>
      </c>
      <c r="K9" s="5">
        <v>43833</v>
      </c>
      <c r="L9" s="3">
        <f t="shared" ca="1" si="0"/>
        <v>4.3638888888888889</v>
      </c>
    </row>
    <row r="10" spans="1:13" x14ac:dyDescent="0.25">
      <c r="A10" s="4">
        <v>9</v>
      </c>
      <c r="B10" s="4" t="s">
        <v>37</v>
      </c>
      <c r="C10" s="4" t="s">
        <v>444</v>
      </c>
      <c r="D10" s="4" t="s">
        <v>8</v>
      </c>
      <c r="E10" s="4" t="s">
        <v>16</v>
      </c>
      <c r="F10" s="6">
        <v>0.63</v>
      </c>
      <c r="G10" s="4">
        <v>3</v>
      </c>
      <c r="H10" s="2">
        <v>83474</v>
      </c>
      <c r="I10" s="4" t="s">
        <v>2</v>
      </c>
      <c r="J10" s="4" t="s">
        <v>2</v>
      </c>
      <c r="K10" s="5">
        <v>43660</v>
      </c>
      <c r="L10" s="3">
        <f t="shared" ca="1" si="0"/>
        <v>4.833333333333333</v>
      </c>
    </row>
    <row r="11" spans="1:13" x14ac:dyDescent="0.25">
      <c r="A11" s="4">
        <v>10</v>
      </c>
      <c r="B11" s="4" t="s">
        <v>38</v>
      </c>
      <c r="C11" s="4" t="s">
        <v>445</v>
      </c>
      <c r="D11" s="4" t="s">
        <v>14</v>
      </c>
      <c r="E11" s="4" t="s">
        <v>18</v>
      </c>
      <c r="F11" s="6">
        <v>0.98</v>
      </c>
      <c r="G11" s="4">
        <v>3</v>
      </c>
      <c r="H11" s="2">
        <v>233661</v>
      </c>
      <c r="I11" s="4" t="s">
        <v>2</v>
      </c>
      <c r="J11" s="4" t="s">
        <v>1</v>
      </c>
      <c r="K11" s="5">
        <v>42946</v>
      </c>
      <c r="L11" s="3">
        <f t="shared" ca="1" si="0"/>
        <v>6.7888888888888888</v>
      </c>
    </row>
    <row r="12" spans="1:13" x14ac:dyDescent="0.25">
      <c r="A12" s="4">
        <v>11</v>
      </c>
      <c r="B12" s="4" t="s">
        <v>39</v>
      </c>
      <c r="C12" s="4" t="s">
        <v>446</v>
      </c>
      <c r="D12" s="4" t="s">
        <v>4</v>
      </c>
      <c r="E12" s="4" t="s">
        <v>3</v>
      </c>
      <c r="F12" s="6">
        <v>0.98</v>
      </c>
      <c r="G12" s="4">
        <v>2</v>
      </c>
      <c r="H12" s="2">
        <v>207309</v>
      </c>
      <c r="I12" s="4" t="s">
        <v>2</v>
      </c>
      <c r="J12" s="4" t="s">
        <v>2</v>
      </c>
      <c r="K12" s="5">
        <v>42903</v>
      </c>
      <c r="L12" s="3">
        <f t="shared" ca="1" si="0"/>
        <v>6.9083333333333332</v>
      </c>
    </row>
    <row r="13" spans="1:13" x14ac:dyDescent="0.25">
      <c r="A13" s="4">
        <v>12</v>
      </c>
      <c r="B13" s="4" t="s">
        <v>40</v>
      </c>
      <c r="C13" s="4" t="s">
        <v>447</v>
      </c>
      <c r="D13" s="4" t="s">
        <v>9</v>
      </c>
      <c r="E13" s="4" t="s">
        <v>17</v>
      </c>
      <c r="F13" s="6">
        <v>0.45</v>
      </c>
      <c r="G13" s="4">
        <v>4</v>
      </c>
      <c r="H13" s="2">
        <v>114883</v>
      </c>
      <c r="I13" s="4" t="s">
        <v>2</v>
      </c>
      <c r="J13" s="4" t="s">
        <v>1</v>
      </c>
      <c r="K13" s="5">
        <v>43830</v>
      </c>
      <c r="L13" s="3">
        <f t="shared" ca="1" si="0"/>
        <v>4.3722222222222218</v>
      </c>
    </row>
    <row r="14" spans="1:13" x14ac:dyDescent="0.25">
      <c r="A14" s="4">
        <v>13</v>
      </c>
      <c r="B14" s="4" t="s">
        <v>41</v>
      </c>
      <c r="C14" s="4" t="s">
        <v>448</v>
      </c>
      <c r="D14" s="4" t="s">
        <v>9</v>
      </c>
      <c r="E14" s="4" t="s">
        <v>19</v>
      </c>
      <c r="F14" s="6">
        <v>0</v>
      </c>
      <c r="G14" s="4">
        <v>0</v>
      </c>
      <c r="H14" s="2">
        <v>101023</v>
      </c>
      <c r="I14" s="4" t="s">
        <v>2</v>
      </c>
      <c r="J14" s="4" t="s">
        <v>2</v>
      </c>
      <c r="K14" s="5">
        <v>43674</v>
      </c>
      <c r="L14" s="3">
        <f t="shared" ca="1" si="0"/>
        <v>4.7944444444444443</v>
      </c>
    </row>
    <row r="15" spans="1:13" x14ac:dyDescent="0.25">
      <c r="A15" s="4">
        <v>14</v>
      </c>
      <c r="B15" s="4" t="s">
        <v>42</v>
      </c>
      <c r="C15" s="4" t="s">
        <v>449</v>
      </c>
      <c r="D15" s="4" t="s">
        <v>8</v>
      </c>
      <c r="E15" s="4" t="s">
        <v>16</v>
      </c>
      <c r="F15" s="6">
        <v>0.68</v>
      </c>
      <c r="G15" s="4">
        <v>3</v>
      </c>
      <c r="H15" s="2">
        <v>93128</v>
      </c>
      <c r="I15" s="4" t="s">
        <v>2</v>
      </c>
      <c r="J15" s="4" t="s">
        <v>2</v>
      </c>
      <c r="K15" s="5">
        <v>43782</v>
      </c>
      <c r="L15" s="3">
        <f t="shared" ca="1" si="0"/>
        <v>4.5027777777777782</v>
      </c>
    </row>
    <row r="16" spans="1:13" x14ac:dyDescent="0.25">
      <c r="A16" s="4">
        <v>15</v>
      </c>
      <c r="B16" s="4" t="s">
        <v>43</v>
      </c>
      <c r="C16" s="4" t="s">
        <v>450</v>
      </c>
      <c r="D16" s="4" t="s">
        <v>4</v>
      </c>
      <c r="E16" s="4" t="s">
        <v>3</v>
      </c>
      <c r="F16" s="6">
        <v>0.98</v>
      </c>
      <c r="G16" s="4">
        <v>1</v>
      </c>
      <c r="H16" s="2">
        <v>197812</v>
      </c>
      <c r="I16" s="4" t="s">
        <v>2</v>
      </c>
      <c r="J16" s="4" t="s">
        <v>2</v>
      </c>
      <c r="K16" s="5">
        <v>43324</v>
      </c>
      <c r="L16" s="3">
        <f t="shared" ca="1" si="0"/>
        <v>5.7555555555555555</v>
      </c>
    </row>
    <row r="17" spans="1:12" x14ac:dyDescent="0.25">
      <c r="A17" s="4">
        <v>16</v>
      </c>
      <c r="B17" s="4" t="s">
        <v>44</v>
      </c>
      <c r="C17" s="4" t="s">
        <v>451</v>
      </c>
      <c r="D17" s="4" t="s">
        <v>11</v>
      </c>
      <c r="E17" s="4" t="s">
        <v>17</v>
      </c>
      <c r="F17" s="6">
        <v>0.2</v>
      </c>
      <c r="G17" s="4">
        <v>1</v>
      </c>
      <c r="H17" s="2">
        <v>299936</v>
      </c>
      <c r="I17" s="4" t="s">
        <v>2</v>
      </c>
      <c r="J17" s="4" t="s">
        <v>2</v>
      </c>
      <c r="K17" s="5">
        <v>42969</v>
      </c>
      <c r="L17" s="3">
        <f t="shared" ca="1" si="0"/>
        <v>6.7277777777777779</v>
      </c>
    </row>
    <row r="18" spans="1:12" x14ac:dyDescent="0.25">
      <c r="A18" s="4">
        <v>17</v>
      </c>
      <c r="B18" s="4" t="s">
        <v>45</v>
      </c>
      <c r="C18" s="4" t="s">
        <v>452</v>
      </c>
      <c r="D18" s="4" t="s">
        <v>10</v>
      </c>
      <c r="E18" s="4" t="s">
        <v>3</v>
      </c>
      <c r="F18" s="6">
        <v>0.39</v>
      </c>
      <c r="G18" s="4">
        <v>0</v>
      </c>
      <c r="H18" s="2">
        <v>271743</v>
      </c>
      <c r="I18" s="4" t="s">
        <v>2</v>
      </c>
      <c r="J18" s="4" t="s">
        <v>1</v>
      </c>
      <c r="K18" s="5">
        <v>43578</v>
      </c>
      <c r="L18" s="3">
        <f t="shared" ca="1" si="0"/>
        <v>5.0583333333333336</v>
      </c>
    </row>
    <row r="19" spans="1:12" x14ac:dyDescent="0.25">
      <c r="A19" s="4">
        <v>18</v>
      </c>
      <c r="B19" s="4" t="s">
        <v>46</v>
      </c>
      <c r="C19" s="4" t="s">
        <v>453</v>
      </c>
      <c r="D19" s="4" t="s">
        <v>4</v>
      </c>
      <c r="E19" s="4" t="s">
        <v>20</v>
      </c>
      <c r="F19" s="6">
        <v>0.37</v>
      </c>
      <c r="G19" s="4">
        <v>1</v>
      </c>
      <c r="H19" s="2">
        <v>204698</v>
      </c>
      <c r="I19" s="4" t="s">
        <v>2</v>
      </c>
      <c r="J19" s="4" t="s">
        <v>2</v>
      </c>
      <c r="K19" s="5">
        <v>44077</v>
      </c>
      <c r="L19" s="3">
        <f t="shared" ca="1" si="0"/>
        <v>3.6972222222222224</v>
      </c>
    </row>
    <row r="20" spans="1:12" x14ac:dyDescent="0.25">
      <c r="A20" s="4">
        <v>19</v>
      </c>
      <c r="B20" s="4" t="s">
        <v>47</v>
      </c>
      <c r="C20" s="4" t="s">
        <v>454</v>
      </c>
      <c r="D20" s="4" t="s">
        <v>4</v>
      </c>
      <c r="E20" s="4" t="s">
        <v>18</v>
      </c>
      <c r="F20" s="6">
        <v>0.06</v>
      </c>
      <c r="G20" s="4">
        <v>0</v>
      </c>
      <c r="H20" s="2">
        <v>209718</v>
      </c>
      <c r="I20" s="4" t="s">
        <v>2</v>
      </c>
      <c r="J20" s="4" t="s">
        <v>2</v>
      </c>
      <c r="K20" s="5">
        <v>44134</v>
      </c>
      <c r="L20" s="3">
        <f t="shared" ca="1" si="0"/>
        <v>3.5388888888888888</v>
      </c>
    </row>
    <row r="21" spans="1:12" x14ac:dyDescent="0.25">
      <c r="A21" s="4">
        <v>20</v>
      </c>
      <c r="B21" s="4" t="s">
        <v>48</v>
      </c>
      <c r="C21" s="4" t="s">
        <v>455</v>
      </c>
      <c r="D21" s="4" t="s">
        <v>11</v>
      </c>
      <c r="E21" s="4" t="s">
        <v>21</v>
      </c>
      <c r="F21" s="6">
        <v>0.63</v>
      </c>
      <c r="G21" s="4">
        <v>3</v>
      </c>
      <c r="H21" s="2">
        <v>292961</v>
      </c>
      <c r="I21" s="4" t="s">
        <v>1</v>
      </c>
      <c r="J21" s="4" t="s">
        <v>1</v>
      </c>
      <c r="K21" s="5">
        <v>43945</v>
      </c>
      <c r="L21" s="3">
        <f t="shared" ca="1" si="0"/>
        <v>4.0555555555555554</v>
      </c>
    </row>
    <row r="22" spans="1:12" x14ac:dyDescent="0.25">
      <c r="A22" s="4">
        <v>21</v>
      </c>
      <c r="B22" s="4" t="s">
        <v>49</v>
      </c>
      <c r="C22" s="4" t="s">
        <v>456</v>
      </c>
      <c r="D22" s="4" t="s">
        <v>4</v>
      </c>
      <c r="E22" s="4" t="s">
        <v>19</v>
      </c>
      <c r="F22" s="6">
        <v>0</v>
      </c>
      <c r="G22" s="4">
        <v>1</v>
      </c>
      <c r="H22" s="2">
        <v>205042</v>
      </c>
      <c r="I22" s="4" t="s">
        <v>2</v>
      </c>
      <c r="J22" s="4" t="s">
        <v>2</v>
      </c>
      <c r="K22" s="5">
        <v>43503</v>
      </c>
      <c r="L22" s="3">
        <f t="shared" ca="1" si="0"/>
        <v>5.2694444444444448</v>
      </c>
    </row>
    <row r="23" spans="1:12" x14ac:dyDescent="0.25">
      <c r="A23" s="4">
        <v>22</v>
      </c>
      <c r="B23" s="4" t="s">
        <v>50</v>
      </c>
      <c r="C23" s="4" t="s">
        <v>457</v>
      </c>
      <c r="D23" s="4" t="s">
        <v>10</v>
      </c>
      <c r="E23" s="4" t="s">
        <v>17</v>
      </c>
      <c r="F23" s="6">
        <v>0.24</v>
      </c>
      <c r="G23" s="4">
        <v>1</v>
      </c>
      <c r="H23" s="2">
        <v>255443</v>
      </c>
      <c r="I23" s="4" t="s">
        <v>1</v>
      </c>
      <c r="J23" s="4" t="s">
        <v>2</v>
      </c>
      <c r="K23" s="5">
        <v>44148</v>
      </c>
      <c r="L23" s="3">
        <f t="shared" ca="1" si="0"/>
        <v>3.5027777777777778</v>
      </c>
    </row>
    <row r="24" spans="1:12" x14ac:dyDescent="0.25">
      <c r="A24" s="4">
        <v>23</v>
      </c>
      <c r="B24" s="4" t="s">
        <v>51</v>
      </c>
      <c r="C24" s="4" t="s">
        <v>458</v>
      </c>
      <c r="D24" s="4" t="s">
        <v>14</v>
      </c>
      <c r="E24" s="4" t="s">
        <v>15</v>
      </c>
      <c r="F24" s="6">
        <v>0.56999999999999995</v>
      </c>
      <c r="G24" s="4">
        <v>4</v>
      </c>
      <c r="H24" s="2">
        <v>244910</v>
      </c>
      <c r="I24" s="4" t="s">
        <v>2</v>
      </c>
      <c r="J24" s="4" t="s">
        <v>1</v>
      </c>
      <c r="K24" s="5">
        <v>43866</v>
      </c>
      <c r="L24" s="3">
        <f t="shared" ca="1" si="0"/>
        <v>4.2750000000000004</v>
      </c>
    </row>
    <row r="25" spans="1:12" x14ac:dyDescent="0.25">
      <c r="A25" s="4">
        <v>24</v>
      </c>
      <c r="B25" s="4" t="s">
        <v>52</v>
      </c>
      <c r="C25" s="4" t="s">
        <v>459</v>
      </c>
      <c r="D25" s="4" t="s">
        <v>4</v>
      </c>
      <c r="E25" s="4" t="s">
        <v>20</v>
      </c>
      <c r="F25" s="6">
        <v>0.4</v>
      </c>
      <c r="G25" s="4">
        <v>3</v>
      </c>
      <c r="H25" s="2">
        <v>208004</v>
      </c>
      <c r="I25" s="4" t="s">
        <v>2</v>
      </c>
      <c r="J25" s="4" t="s">
        <v>2</v>
      </c>
      <c r="K25" s="5">
        <v>43602</v>
      </c>
      <c r="L25" s="3">
        <f t="shared" ca="1" si="0"/>
        <v>4.9916666666666663</v>
      </c>
    </row>
    <row r="26" spans="1:12" x14ac:dyDescent="0.25">
      <c r="A26" s="4">
        <v>25</v>
      </c>
      <c r="B26" s="4" t="s">
        <v>53</v>
      </c>
      <c r="C26" s="4" t="s">
        <v>460</v>
      </c>
      <c r="D26" s="4" t="s">
        <v>9</v>
      </c>
      <c r="E26" s="4" t="s">
        <v>3</v>
      </c>
      <c r="F26" s="6">
        <v>0.41</v>
      </c>
      <c r="G26" s="4">
        <v>4</v>
      </c>
      <c r="H26" s="2">
        <v>132906</v>
      </c>
      <c r="I26" s="4" t="s">
        <v>2</v>
      </c>
      <c r="J26" s="4" t="s">
        <v>1</v>
      </c>
      <c r="K26" s="5">
        <v>43115</v>
      </c>
      <c r="L26" s="3">
        <f t="shared" ca="1" si="0"/>
        <v>6.3305555555555557</v>
      </c>
    </row>
    <row r="27" spans="1:12" x14ac:dyDescent="0.25">
      <c r="A27" s="4">
        <v>26</v>
      </c>
      <c r="B27" s="4" t="s">
        <v>54</v>
      </c>
      <c r="C27" s="4" t="s">
        <v>461</v>
      </c>
      <c r="D27" s="4" t="s">
        <v>11</v>
      </c>
      <c r="E27" s="4" t="s">
        <v>16</v>
      </c>
      <c r="F27" s="6">
        <v>0.36</v>
      </c>
      <c r="G27" s="4">
        <v>5</v>
      </c>
      <c r="H27" s="2">
        <v>295104</v>
      </c>
      <c r="I27" s="4" t="s">
        <v>1</v>
      </c>
      <c r="J27" s="4" t="s">
        <v>1</v>
      </c>
      <c r="K27" s="5">
        <v>43693</v>
      </c>
      <c r="L27" s="3">
        <f t="shared" ca="1" si="0"/>
        <v>4.7444444444444445</v>
      </c>
    </row>
    <row r="28" spans="1:12" x14ac:dyDescent="0.25">
      <c r="A28" s="4">
        <v>27</v>
      </c>
      <c r="B28" s="4" t="s">
        <v>55</v>
      </c>
      <c r="C28" s="4" t="s">
        <v>462</v>
      </c>
      <c r="D28" s="4" t="s">
        <v>12</v>
      </c>
      <c r="E28" s="4" t="s">
        <v>20</v>
      </c>
      <c r="F28" s="6">
        <v>0.34</v>
      </c>
      <c r="G28" s="4">
        <v>5</v>
      </c>
      <c r="H28" s="2">
        <v>328128</v>
      </c>
      <c r="I28" s="4" t="s">
        <v>1</v>
      </c>
      <c r="J28" s="4" t="s">
        <v>1</v>
      </c>
      <c r="K28" s="5">
        <v>43184</v>
      </c>
      <c r="L28" s="3">
        <f t="shared" ca="1" si="0"/>
        <v>6.1361111111111111</v>
      </c>
    </row>
    <row r="29" spans="1:12" x14ac:dyDescent="0.25">
      <c r="A29" s="4">
        <v>28</v>
      </c>
      <c r="B29" s="4" t="s">
        <v>56</v>
      </c>
      <c r="C29" s="4" t="s">
        <v>463</v>
      </c>
      <c r="D29" s="4" t="s">
        <v>8</v>
      </c>
      <c r="E29" s="4" t="s">
        <v>18</v>
      </c>
      <c r="F29" s="6">
        <v>0.66</v>
      </c>
      <c r="G29" s="4">
        <v>2</v>
      </c>
      <c r="H29" s="2">
        <v>88411</v>
      </c>
      <c r="I29" s="4" t="s">
        <v>2</v>
      </c>
      <c r="J29" s="4" t="s">
        <v>2</v>
      </c>
      <c r="K29" s="5">
        <v>42970</v>
      </c>
      <c r="L29" s="3">
        <f t="shared" ca="1" si="0"/>
        <v>6.7249999999999996</v>
      </c>
    </row>
    <row r="30" spans="1:12" x14ac:dyDescent="0.25">
      <c r="A30" s="4">
        <v>29</v>
      </c>
      <c r="B30" s="4" t="s">
        <v>57</v>
      </c>
      <c r="C30" s="4" t="s">
        <v>464</v>
      </c>
      <c r="D30" s="4" t="s">
        <v>4</v>
      </c>
      <c r="E30" s="4" t="s">
        <v>15</v>
      </c>
      <c r="F30" s="6">
        <v>0.66</v>
      </c>
      <c r="G30" s="4">
        <v>3</v>
      </c>
      <c r="H30" s="2">
        <v>190382</v>
      </c>
      <c r="I30" s="4" t="s">
        <v>2</v>
      </c>
      <c r="J30" s="4" t="s">
        <v>2</v>
      </c>
      <c r="K30" s="5">
        <v>43984</v>
      </c>
      <c r="L30" s="3">
        <f t="shared" ca="1" si="0"/>
        <v>3.95</v>
      </c>
    </row>
    <row r="31" spans="1:12" x14ac:dyDescent="0.25">
      <c r="A31" s="4">
        <v>30</v>
      </c>
      <c r="B31" s="4" t="s">
        <v>58</v>
      </c>
      <c r="C31" s="4" t="s">
        <v>465</v>
      </c>
      <c r="D31" s="4" t="s">
        <v>9</v>
      </c>
      <c r="E31" s="4" t="s">
        <v>19</v>
      </c>
      <c r="F31" s="6">
        <v>0</v>
      </c>
      <c r="G31" s="4">
        <v>4</v>
      </c>
      <c r="H31" s="2">
        <v>139018</v>
      </c>
      <c r="I31" s="4" t="s">
        <v>2</v>
      </c>
      <c r="J31" s="4" t="s">
        <v>1</v>
      </c>
      <c r="K31" s="5">
        <v>43529</v>
      </c>
      <c r="L31" s="3">
        <f t="shared" ca="1" si="0"/>
        <v>5.1916666666666664</v>
      </c>
    </row>
    <row r="32" spans="1:12" x14ac:dyDescent="0.25">
      <c r="A32" s="4">
        <v>31</v>
      </c>
      <c r="B32" s="4" t="s">
        <v>59</v>
      </c>
      <c r="C32" s="4" t="s">
        <v>466</v>
      </c>
      <c r="D32" s="4" t="s">
        <v>4</v>
      </c>
      <c r="E32" s="4" t="s">
        <v>18</v>
      </c>
      <c r="F32" s="6">
        <v>0.64</v>
      </c>
      <c r="G32" s="4">
        <v>5</v>
      </c>
      <c r="H32" s="2">
        <v>195631</v>
      </c>
      <c r="I32" s="4" t="s">
        <v>1</v>
      </c>
      <c r="J32" s="4" t="s">
        <v>1</v>
      </c>
      <c r="K32" s="5">
        <v>43425</v>
      </c>
      <c r="L32" s="3">
        <f t="shared" ca="1" si="0"/>
        <v>5.4805555555555552</v>
      </c>
    </row>
    <row r="33" spans="1:12" x14ac:dyDescent="0.25">
      <c r="A33" s="4">
        <v>32</v>
      </c>
      <c r="B33" s="4" t="s">
        <v>60</v>
      </c>
      <c r="C33" s="4" t="s">
        <v>467</v>
      </c>
      <c r="D33" s="4" t="s">
        <v>4</v>
      </c>
      <c r="E33" s="4" t="s">
        <v>18</v>
      </c>
      <c r="F33" s="6">
        <v>0.73</v>
      </c>
      <c r="G33" s="4">
        <v>4</v>
      </c>
      <c r="H33" s="2">
        <v>186853</v>
      </c>
      <c r="I33" s="4" t="s">
        <v>2</v>
      </c>
      <c r="J33" s="4" t="s">
        <v>1</v>
      </c>
      <c r="K33" s="5">
        <v>42980</v>
      </c>
      <c r="L33" s="3">
        <f t="shared" ca="1" si="0"/>
        <v>6.7</v>
      </c>
    </row>
    <row r="34" spans="1:12" x14ac:dyDescent="0.25">
      <c r="A34" s="4">
        <v>33</v>
      </c>
      <c r="B34" s="4" t="s">
        <v>61</v>
      </c>
      <c r="C34" s="4" t="s">
        <v>468</v>
      </c>
      <c r="D34" s="4" t="s">
        <v>9</v>
      </c>
      <c r="E34" s="4" t="s">
        <v>18</v>
      </c>
      <c r="F34" s="6">
        <v>0.37</v>
      </c>
      <c r="G34" s="4">
        <v>3</v>
      </c>
      <c r="H34" s="2">
        <v>145716</v>
      </c>
      <c r="I34" s="4" t="s">
        <v>2</v>
      </c>
      <c r="J34" s="4" t="s">
        <v>2</v>
      </c>
      <c r="K34" s="5">
        <v>43226</v>
      </c>
      <c r="L34" s="3">
        <f t="shared" ca="1" si="0"/>
        <v>6.0222222222222221</v>
      </c>
    </row>
    <row r="35" spans="1:12" x14ac:dyDescent="0.25">
      <c r="A35" s="4">
        <v>34</v>
      </c>
      <c r="B35" s="4" t="s">
        <v>62</v>
      </c>
      <c r="C35" s="4" t="s">
        <v>469</v>
      </c>
      <c r="D35" s="4" t="s">
        <v>8</v>
      </c>
      <c r="E35" s="4" t="s">
        <v>18</v>
      </c>
      <c r="F35" s="6">
        <v>0.55000000000000004</v>
      </c>
      <c r="G35" s="4">
        <v>2</v>
      </c>
      <c r="H35" s="2">
        <v>72790</v>
      </c>
      <c r="I35" s="4" t="s">
        <v>2</v>
      </c>
      <c r="J35" s="4" t="s">
        <v>2</v>
      </c>
      <c r="K35" s="5">
        <v>43392</v>
      </c>
      <c r="L35" s="3">
        <f t="shared" ca="1" si="0"/>
        <v>5.5694444444444446</v>
      </c>
    </row>
    <row r="36" spans="1:12" x14ac:dyDescent="0.25">
      <c r="A36" s="4">
        <v>35</v>
      </c>
      <c r="B36" s="4" t="s">
        <v>63</v>
      </c>
      <c r="C36" s="4" t="s">
        <v>470</v>
      </c>
      <c r="D36" s="4" t="s">
        <v>9</v>
      </c>
      <c r="E36" s="4" t="s">
        <v>19</v>
      </c>
      <c r="F36" s="6">
        <v>0</v>
      </c>
      <c r="G36" s="4">
        <v>5</v>
      </c>
      <c r="H36" s="2">
        <v>107328</v>
      </c>
      <c r="I36" s="4" t="s">
        <v>2</v>
      </c>
      <c r="J36" s="4" t="s">
        <v>2</v>
      </c>
      <c r="K36" s="5">
        <v>42996</v>
      </c>
      <c r="L36" s="3">
        <f t="shared" ca="1" si="0"/>
        <v>6.6555555555555559</v>
      </c>
    </row>
    <row r="37" spans="1:12" x14ac:dyDescent="0.25">
      <c r="A37" s="4">
        <v>36</v>
      </c>
      <c r="B37" s="4" t="s">
        <v>64</v>
      </c>
      <c r="C37" s="4" t="s">
        <v>471</v>
      </c>
      <c r="D37" s="4" t="s">
        <v>8</v>
      </c>
      <c r="E37" s="4" t="s">
        <v>3</v>
      </c>
      <c r="F37" s="6">
        <v>0.8</v>
      </c>
      <c r="G37" s="4">
        <v>1</v>
      </c>
      <c r="H37" s="2">
        <v>67999</v>
      </c>
      <c r="I37" s="4" t="s">
        <v>2</v>
      </c>
      <c r="J37" s="4" t="s">
        <v>2</v>
      </c>
      <c r="K37" s="5">
        <v>43155</v>
      </c>
      <c r="L37" s="3">
        <f t="shared" ca="1" si="0"/>
        <v>6.2222222222222223</v>
      </c>
    </row>
    <row r="38" spans="1:12" x14ac:dyDescent="0.25">
      <c r="A38" s="4">
        <v>37</v>
      </c>
      <c r="B38" s="4" t="s">
        <v>65</v>
      </c>
      <c r="C38" s="4" t="s">
        <v>472</v>
      </c>
      <c r="D38" s="4" t="s">
        <v>14</v>
      </c>
      <c r="E38" s="4" t="s">
        <v>3</v>
      </c>
      <c r="F38" s="6">
        <v>0.46</v>
      </c>
      <c r="G38" s="4">
        <v>4</v>
      </c>
      <c r="H38" s="2">
        <v>237686</v>
      </c>
      <c r="I38" s="4" t="s">
        <v>2</v>
      </c>
      <c r="J38" s="4" t="s">
        <v>1</v>
      </c>
      <c r="K38" s="5">
        <v>43663</v>
      </c>
      <c r="L38" s="3">
        <f t="shared" ca="1" si="0"/>
        <v>4.8250000000000002</v>
      </c>
    </row>
    <row r="39" spans="1:12" x14ac:dyDescent="0.25">
      <c r="A39" s="4">
        <v>38</v>
      </c>
      <c r="B39" s="4" t="s">
        <v>66</v>
      </c>
      <c r="C39" s="4" t="s">
        <v>473</v>
      </c>
      <c r="D39" s="4" t="s">
        <v>9</v>
      </c>
      <c r="E39" s="4" t="s">
        <v>16</v>
      </c>
      <c r="F39" s="6">
        <v>0.8</v>
      </c>
      <c r="G39" s="4">
        <v>5</v>
      </c>
      <c r="H39" s="2">
        <v>138854</v>
      </c>
      <c r="I39" s="4" t="s">
        <v>2</v>
      </c>
      <c r="J39" s="4" t="s">
        <v>1</v>
      </c>
      <c r="K39" s="5">
        <v>44185</v>
      </c>
      <c r="L39" s="3">
        <f t="shared" ca="1" si="0"/>
        <v>3.4</v>
      </c>
    </row>
    <row r="40" spans="1:12" x14ac:dyDescent="0.25">
      <c r="A40" s="4">
        <v>39</v>
      </c>
      <c r="B40" s="4" t="s">
        <v>67</v>
      </c>
      <c r="C40" s="4" t="s">
        <v>474</v>
      </c>
      <c r="D40" s="4" t="s">
        <v>14</v>
      </c>
      <c r="E40" s="4" t="s">
        <v>19</v>
      </c>
      <c r="F40" s="6">
        <v>0</v>
      </c>
      <c r="G40" s="4">
        <v>3</v>
      </c>
      <c r="H40" s="2">
        <v>248585</v>
      </c>
      <c r="I40" s="4" t="s">
        <v>2</v>
      </c>
      <c r="J40" s="4" t="s">
        <v>2</v>
      </c>
      <c r="K40" s="5">
        <v>43756</v>
      </c>
      <c r="L40" s="3">
        <f t="shared" ca="1" si="0"/>
        <v>4.572222222222222</v>
      </c>
    </row>
    <row r="41" spans="1:12" x14ac:dyDescent="0.25">
      <c r="A41" s="4">
        <v>40</v>
      </c>
      <c r="B41" s="4" t="s">
        <v>68</v>
      </c>
      <c r="C41" s="4" t="s">
        <v>475</v>
      </c>
      <c r="D41" s="4" t="s">
        <v>11</v>
      </c>
      <c r="E41" s="4" t="s">
        <v>19</v>
      </c>
      <c r="F41" s="6">
        <v>0</v>
      </c>
      <c r="G41" s="4">
        <v>2</v>
      </c>
      <c r="H41" s="2">
        <v>292891</v>
      </c>
      <c r="I41" s="4" t="s">
        <v>1</v>
      </c>
      <c r="J41" s="4" t="s">
        <v>1</v>
      </c>
      <c r="K41" s="5">
        <v>42941</v>
      </c>
      <c r="L41" s="3">
        <f t="shared" ca="1" si="0"/>
        <v>6.802777777777778</v>
      </c>
    </row>
    <row r="42" spans="1:12" x14ac:dyDescent="0.25">
      <c r="A42" s="4">
        <v>41</v>
      </c>
      <c r="B42" s="4" t="s">
        <v>69</v>
      </c>
      <c r="C42" s="4" t="s">
        <v>476</v>
      </c>
      <c r="D42" s="4" t="s">
        <v>11</v>
      </c>
      <c r="E42" s="4" t="s">
        <v>17</v>
      </c>
      <c r="F42" s="6">
        <v>0.33</v>
      </c>
      <c r="G42" s="4">
        <v>0</v>
      </c>
      <c r="H42" s="2">
        <v>296997</v>
      </c>
      <c r="I42" s="4" t="s">
        <v>1</v>
      </c>
      <c r="J42" s="4" t="s">
        <v>1</v>
      </c>
      <c r="K42" s="5">
        <v>44062</v>
      </c>
      <c r="L42" s="3">
        <f t="shared" ca="1" si="0"/>
        <v>3.7361111111111112</v>
      </c>
    </row>
    <row r="43" spans="1:12" x14ac:dyDescent="0.25">
      <c r="A43" s="4">
        <v>42</v>
      </c>
      <c r="B43" s="4" t="s">
        <v>70</v>
      </c>
      <c r="C43" s="4" t="s">
        <v>477</v>
      </c>
      <c r="D43" s="4" t="s">
        <v>8</v>
      </c>
      <c r="E43" s="4" t="s">
        <v>15</v>
      </c>
      <c r="F43" s="6">
        <v>0.69</v>
      </c>
      <c r="G43" s="4">
        <v>1</v>
      </c>
      <c r="H43" s="2">
        <v>71975</v>
      </c>
      <c r="I43" s="4" t="s">
        <v>2</v>
      </c>
      <c r="J43" s="4" t="s">
        <v>2</v>
      </c>
      <c r="K43" s="5">
        <v>43794</v>
      </c>
      <c r="L43" s="3">
        <f t="shared" ca="1" si="0"/>
        <v>4.4694444444444441</v>
      </c>
    </row>
    <row r="44" spans="1:12" x14ac:dyDescent="0.25">
      <c r="A44" s="4">
        <v>43</v>
      </c>
      <c r="B44" s="4" t="s">
        <v>71</v>
      </c>
      <c r="C44" s="4" t="s">
        <v>478</v>
      </c>
      <c r="D44" s="4" t="s">
        <v>9</v>
      </c>
      <c r="E44" s="4" t="s">
        <v>16</v>
      </c>
      <c r="F44" s="6">
        <v>0.49</v>
      </c>
      <c r="G44" s="4">
        <v>3</v>
      </c>
      <c r="H44" s="2">
        <v>115432</v>
      </c>
      <c r="I44" s="4" t="s">
        <v>2</v>
      </c>
      <c r="J44" s="4" t="s">
        <v>1</v>
      </c>
      <c r="K44" s="5">
        <v>43920</v>
      </c>
      <c r="L44" s="3">
        <f t="shared" ca="1" si="0"/>
        <v>4.1222222222222218</v>
      </c>
    </row>
    <row r="45" spans="1:12" x14ac:dyDescent="0.25">
      <c r="A45" s="4">
        <v>44</v>
      </c>
      <c r="B45" s="4" t="s">
        <v>72</v>
      </c>
      <c r="C45" s="4" t="s">
        <v>479</v>
      </c>
      <c r="D45" s="4" t="s">
        <v>8</v>
      </c>
      <c r="E45" s="4" t="s">
        <v>18</v>
      </c>
      <c r="F45" s="6">
        <v>0.41</v>
      </c>
      <c r="G45" s="4">
        <v>0</v>
      </c>
      <c r="H45" s="2">
        <v>69941</v>
      </c>
      <c r="I45" s="4" t="s">
        <v>2</v>
      </c>
      <c r="J45" s="4" t="s">
        <v>2</v>
      </c>
      <c r="K45" s="5">
        <v>43031</v>
      </c>
      <c r="L45" s="3">
        <f t="shared" ca="1" si="0"/>
        <v>6.5583333333333336</v>
      </c>
    </row>
    <row r="46" spans="1:12" x14ac:dyDescent="0.25">
      <c r="A46" s="4">
        <v>45</v>
      </c>
      <c r="B46" s="4" t="s">
        <v>73</v>
      </c>
      <c r="C46" s="4" t="s">
        <v>480</v>
      </c>
      <c r="D46" s="4" t="s">
        <v>11</v>
      </c>
      <c r="E46" s="4" t="s">
        <v>3</v>
      </c>
      <c r="F46" s="6">
        <v>0.79</v>
      </c>
      <c r="G46" s="4">
        <v>5</v>
      </c>
      <c r="H46" s="2">
        <v>285584</v>
      </c>
      <c r="I46" s="4" t="s">
        <v>1</v>
      </c>
      <c r="J46" s="4" t="s">
        <v>1</v>
      </c>
      <c r="K46" s="5">
        <v>43614</v>
      </c>
      <c r="L46" s="3">
        <f t="shared" ca="1" si="0"/>
        <v>4.958333333333333</v>
      </c>
    </row>
    <row r="47" spans="1:12" x14ac:dyDescent="0.25">
      <c r="A47" s="4">
        <v>46</v>
      </c>
      <c r="B47" s="4" t="s">
        <v>74</v>
      </c>
      <c r="C47" s="4" t="s">
        <v>481</v>
      </c>
      <c r="D47" s="4" t="s">
        <v>12</v>
      </c>
      <c r="E47" s="4" t="s">
        <v>17</v>
      </c>
      <c r="F47" s="6">
        <v>0.06</v>
      </c>
      <c r="G47" s="4">
        <v>5</v>
      </c>
      <c r="H47" s="2">
        <v>320142</v>
      </c>
      <c r="I47" s="4" t="s">
        <v>1</v>
      </c>
      <c r="J47" s="4" t="s">
        <v>2</v>
      </c>
      <c r="K47" s="5">
        <v>43629</v>
      </c>
      <c r="L47" s="3">
        <f t="shared" ca="1" si="0"/>
        <v>4.9194444444444443</v>
      </c>
    </row>
    <row r="48" spans="1:12" x14ac:dyDescent="0.25">
      <c r="A48" s="4">
        <v>47</v>
      </c>
      <c r="B48" s="4" t="s">
        <v>75</v>
      </c>
      <c r="C48" s="4" t="s">
        <v>482</v>
      </c>
      <c r="D48" s="4" t="s">
        <v>9</v>
      </c>
      <c r="E48" s="4" t="s">
        <v>16</v>
      </c>
      <c r="F48" s="6">
        <v>0.73</v>
      </c>
      <c r="G48" s="4">
        <v>1</v>
      </c>
      <c r="H48" s="2">
        <v>118023</v>
      </c>
      <c r="I48" s="4" t="s">
        <v>2</v>
      </c>
      <c r="J48" s="4" t="s">
        <v>1</v>
      </c>
      <c r="K48" s="5">
        <v>44038</v>
      </c>
      <c r="L48" s="3">
        <f t="shared" ca="1" si="0"/>
        <v>3.8</v>
      </c>
    </row>
    <row r="49" spans="1:12" x14ac:dyDescent="0.25">
      <c r="A49" s="4">
        <v>48</v>
      </c>
      <c r="B49" s="4" t="s">
        <v>76</v>
      </c>
      <c r="C49" s="4" t="s">
        <v>483</v>
      </c>
      <c r="D49" s="4" t="s">
        <v>9</v>
      </c>
      <c r="E49" s="4" t="s">
        <v>15</v>
      </c>
      <c r="F49" s="6">
        <v>0.46</v>
      </c>
      <c r="G49" s="4">
        <v>4</v>
      </c>
      <c r="H49" s="2">
        <v>126080</v>
      </c>
      <c r="I49" s="4" t="s">
        <v>2</v>
      </c>
      <c r="J49" s="4" t="s">
        <v>1</v>
      </c>
      <c r="K49" s="5">
        <v>44131</v>
      </c>
      <c r="L49" s="3">
        <f t="shared" ca="1" si="0"/>
        <v>3.5472222222222221</v>
      </c>
    </row>
    <row r="50" spans="1:12" x14ac:dyDescent="0.25">
      <c r="A50" s="4">
        <v>49</v>
      </c>
      <c r="B50" s="4" t="s">
        <v>77</v>
      </c>
      <c r="C50" s="4" t="s">
        <v>484</v>
      </c>
      <c r="D50" s="4" t="s">
        <v>4</v>
      </c>
      <c r="E50" s="4" t="s">
        <v>3</v>
      </c>
      <c r="F50" s="6">
        <v>0.41</v>
      </c>
      <c r="G50" s="4">
        <v>1</v>
      </c>
      <c r="H50" s="2">
        <v>186085</v>
      </c>
      <c r="I50" s="4" t="s">
        <v>2</v>
      </c>
      <c r="J50" s="4" t="s">
        <v>2</v>
      </c>
      <c r="K50" s="5">
        <v>43347</v>
      </c>
      <c r="L50" s="3">
        <f t="shared" ca="1" si="0"/>
        <v>5.6944444444444446</v>
      </c>
    </row>
    <row r="51" spans="1:12" x14ac:dyDescent="0.25">
      <c r="A51" s="4">
        <v>50</v>
      </c>
      <c r="B51" s="4" t="s">
        <v>78</v>
      </c>
      <c r="C51" s="4" t="s">
        <v>485</v>
      </c>
      <c r="D51" s="4" t="s">
        <v>8</v>
      </c>
      <c r="E51" s="4" t="s">
        <v>19</v>
      </c>
      <c r="F51" s="6">
        <v>0</v>
      </c>
      <c r="G51" s="4">
        <v>4</v>
      </c>
      <c r="H51" s="2">
        <v>75321</v>
      </c>
      <c r="I51" s="4" t="s">
        <v>2</v>
      </c>
      <c r="J51" s="4" t="s">
        <v>2</v>
      </c>
      <c r="K51" s="5">
        <v>43688</v>
      </c>
      <c r="L51" s="3">
        <f t="shared" ca="1" si="0"/>
        <v>4.7583333333333337</v>
      </c>
    </row>
    <row r="52" spans="1:12" x14ac:dyDescent="0.25">
      <c r="A52" s="4">
        <v>51</v>
      </c>
      <c r="B52" s="4" t="s">
        <v>79</v>
      </c>
      <c r="C52" s="4" t="s">
        <v>482</v>
      </c>
      <c r="D52" s="4" t="s">
        <v>10</v>
      </c>
      <c r="E52" s="4" t="s">
        <v>20</v>
      </c>
      <c r="F52" s="6">
        <v>0.38</v>
      </c>
      <c r="G52" s="4">
        <v>1</v>
      </c>
      <c r="H52" s="2">
        <v>265207</v>
      </c>
      <c r="I52" s="4" t="s">
        <v>2</v>
      </c>
      <c r="J52" s="4" t="s">
        <v>1</v>
      </c>
      <c r="K52" s="5">
        <v>43673</v>
      </c>
      <c r="L52" s="3">
        <f t="shared" ca="1" si="0"/>
        <v>4.7972222222222225</v>
      </c>
    </row>
    <row r="53" spans="1:12" x14ac:dyDescent="0.25">
      <c r="A53" s="4">
        <v>52</v>
      </c>
      <c r="B53" s="4" t="s">
        <v>80</v>
      </c>
      <c r="C53" s="4" t="s">
        <v>469</v>
      </c>
      <c r="D53" s="4" t="s">
        <v>8</v>
      </c>
      <c r="E53" s="4" t="s">
        <v>3</v>
      </c>
      <c r="F53" s="6">
        <v>0.77</v>
      </c>
      <c r="G53" s="4">
        <v>2</v>
      </c>
      <c r="H53" s="2">
        <v>66806</v>
      </c>
      <c r="I53" s="4" t="s">
        <v>2</v>
      </c>
      <c r="J53" s="4" t="s">
        <v>1</v>
      </c>
      <c r="K53" s="5">
        <v>42931</v>
      </c>
      <c r="L53" s="3">
        <f t="shared" ca="1" si="0"/>
        <v>6.8305555555555557</v>
      </c>
    </row>
    <row r="54" spans="1:12" x14ac:dyDescent="0.25">
      <c r="A54" s="4">
        <v>53</v>
      </c>
      <c r="B54" s="4" t="s">
        <v>81</v>
      </c>
      <c r="C54" s="4" t="s">
        <v>446</v>
      </c>
      <c r="D54" s="4" t="s">
        <v>9</v>
      </c>
      <c r="E54" s="4" t="s">
        <v>16</v>
      </c>
      <c r="F54" s="6">
        <v>0.31</v>
      </c>
      <c r="G54" s="4">
        <v>1</v>
      </c>
      <c r="H54" s="2">
        <v>110091</v>
      </c>
      <c r="I54" s="4" t="s">
        <v>2</v>
      </c>
      <c r="J54" s="4" t="s">
        <v>1</v>
      </c>
      <c r="K54" s="5">
        <v>44113</v>
      </c>
      <c r="L54" s="3">
        <f t="shared" ca="1" si="0"/>
        <v>3.5972222222222223</v>
      </c>
    </row>
    <row r="55" spans="1:12" x14ac:dyDescent="0.25">
      <c r="A55" s="4">
        <v>54</v>
      </c>
      <c r="B55" s="4" t="s">
        <v>82</v>
      </c>
      <c r="C55" s="4" t="s">
        <v>448</v>
      </c>
      <c r="D55" s="4" t="s">
        <v>11</v>
      </c>
      <c r="E55" s="4" t="s">
        <v>3</v>
      </c>
      <c r="F55" s="6">
        <v>0.28999999999999998</v>
      </c>
      <c r="G55" s="4">
        <v>0</v>
      </c>
      <c r="H55" s="2">
        <v>282839</v>
      </c>
      <c r="I55" s="4" t="s">
        <v>1</v>
      </c>
      <c r="J55" s="4" t="s">
        <v>2</v>
      </c>
      <c r="K55" s="5">
        <v>43934</v>
      </c>
      <c r="L55" s="3">
        <f t="shared" ca="1" si="0"/>
        <v>4.0861111111111112</v>
      </c>
    </row>
    <row r="56" spans="1:12" x14ac:dyDescent="0.25">
      <c r="A56" s="4">
        <v>55</v>
      </c>
      <c r="B56" s="4" t="s">
        <v>83</v>
      </c>
      <c r="C56" s="4" t="s">
        <v>458</v>
      </c>
      <c r="D56" s="4" t="s">
        <v>10</v>
      </c>
      <c r="E56" s="4" t="s">
        <v>20</v>
      </c>
      <c r="F56" s="6">
        <v>0.67</v>
      </c>
      <c r="G56" s="4">
        <v>2</v>
      </c>
      <c r="H56" s="2">
        <v>251895</v>
      </c>
      <c r="I56" s="4" t="s">
        <v>2</v>
      </c>
      <c r="J56" s="4" t="s">
        <v>1</v>
      </c>
      <c r="K56" s="5">
        <v>44175</v>
      </c>
      <c r="L56" s="3">
        <f t="shared" ca="1" si="0"/>
        <v>3.4277777777777776</v>
      </c>
    </row>
    <row r="57" spans="1:12" x14ac:dyDescent="0.25">
      <c r="A57" s="4">
        <v>56</v>
      </c>
      <c r="B57" s="4" t="s">
        <v>84</v>
      </c>
      <c r="C57" s="4" t="s">
        <v>476</v>
      </c>
      <c r="D57" s="4" t="s">
        <v>10</v>
      </c>
      <c r="E57" s="4" t="s">
        <v>20</v>
      </c>
      <c r="F57" s="6">
        <v>0.42</v>
      </c>
      <c r="G57" s="4">
        <v>3</v>
      </c>
      <c r="H57" s="2">
        <v>254815</v>
      </c>
      <c r="I57" s="4" t="s">
        <v>2</v>
      </c>
      <c r="J57" s="4" t="s">
        <v>1</v>
      </c>
      <c r="K57" s="5">
        <v>44134</v>
      </c>
      <c r="L57" s="3">
        <f t="shared" ca="1" si="0"/>
        <v>3.5388888888888888</v>
      </c>
    </row>
    <row r="58" spans="1:12" x14ac:dyDescent="0.25">
      <c r="A58" s="4">
        <v>57</v>
      </c>
      <c r="B58" s="4" t="s">
        <v>85</v>
      </c>
      <c r="C58" s="4" t="s">
        <v>449</v>
      </c>
      <c r="D58" s="4" t="s">
        <v>8</v>
      </c>
      <c r="E58" s="4" t="s">
        <v>18</v>
      </c>
      <c r="F58" s="6">
        <v>0.37</v>
      </c>
      <c r="G58" s="4">
        <v>3</v>
      </c>
      <c r="H58" s="2">
        <v>72267</v>
      </c>
      <c r="I58" s="4" t="s">
        <v>2</v>
      </c>
      <c r="J58" s="4" t="s">
        <v>2</v>
      </c>
      <c r="K58" s="5">
        <v>43557</v>
      </c>
      <c r="L58" s="3">
        <f t="shared" ca="1" si="0"/>
        <v>5.1166666666666663</v>
      </c>
    </row>
    <row r="59" spans="1:12" x14ac:dyDescent="0.25">
      <c r="A59" s="4">
        <v>58</v>
      </c>
      <c r="B59" s="4" t="s">
        <v>86</v>
      </c>
      <c r="C59" s="4" t="s">
        <v>466</v>
      </c>
      <c r="D59" s="4" t="s">
        <v>14</v>
      </c>
      <c r="E59" s="4" t="s">
        <v>21</v>
      </c>
      <c r="F59" s="6">
        <v>0.43</v>
      </c>
      <c r="G59" s="4">
        <v>5</v>
      </c>
      <c r="H59" s="2">
        <v>232760</v>
      </c>
      <c r="I59" s="4" t="s">
        <v>2</v>
      </c>
      <c r="J59" s="4" t="s">
        <v>1</v>
      </c>
      <c r="K59" s="5">
        <v>42844</v>
      </c>
      <c r="L59" s="3">
        <f t="shared" ca="1" si="0"/>
        <v>7.0694444444444446</v>
      </c>
    </row>
    <row r="60" spans="1:12" x14ac:dyDescent="0.25">
      <c r="A60" s="4">
        <v>59</v>
      </c>
      <c r="B60" s="4" t="s">
        <v>87</v>
      </c>
      <c r="C60" s="4" t="s">
        <v>462</v>
      </c>
      <c r="D60" s="4" t="s">
        <v>4</v>
      </c>
      <c r="E60" s="4" t="s">
        <v>20</v>
      </c>
      <c r="F60" s="6">
        <v>0.81</v>
      </c>
      <c r="G60" s="4">
        <v>1</v>
      </c>
      <c r="H60" s="2">
        <v>192600</v>
      </c>
      <c r="I60" s="4" t="s">
        <v>2</v>
      </c>
      <c r="J60" s="4" t="s">
        <v>2</v>
      </c>
      <c r="K60" s="5">
        <v>43494</v>
      </c>
      <c r="L60" s="3">
        <f t="shared" ca="1" si="0"/>
        <v>5.291666666666667</v>
      </c>
    </row>
    <row r="61" spans="1:12" x14ac:dyDescent="0.25">
      <c r="A61" s="4">
        <v>60</v>
      </c>
      <c r="B61" s="4" t="s">
        <v>88</v>
      </c>
      <c r="C61" s="4" t="s">
        <v>464</v>
      </c>
      <c r="D61" s="4" t="s">
        <v>9</v>
      </c>
      <c r="E61" s="4" t="s">
        <v>20</v>
      </c>
      <c r="F61" s="6">
        <v>0.36</v>
      </c>
      <c r="G61" s="4">
        <v>2</v>
      </c>
      <c r="H61" s="2">
        <v>139901</v>
      </c>
      <c r="I61" s="4" t="s">
        <v>2</v>
      </c>
      <c r="J61" s="4" t="s">
        <v>2</v>
      </c>
      <c r="K61" s="5">
        <v>43248</v>
      </c>
      <c r="L61" s="3">
        <f t="shared" ca="1" si="0"/>
        <v>5.9611111111111112</v>
      </c>
    </row>
    <row r="62" spans="1:12" x14ac:dyDescent="0.25">
      <c r="A62" s="4">
        <v>61</v>
      </c>
      <c r="B62" s="4" t="s">
        <v>89</v>
      </c>
      <c r="C62" s="4" t="s">
        <v>457</v>
      </c>
      <c r="D62" s="4" t="s">
        <v>11</v>
      </c>
      <c r="E62" s="4" t="s">
        <v>18</v>
      </c>
      <c r="F62" s="6">
        <v>0.57999999999999996</v>
      </c>
      <c r="G62" s="4">
        <v>1</v>
      </c>
      <c r="H62" s="2">
        <v>293469</v>
      </c>
      <c r="I62" s="4" t="s">
        <v>1</v>
      </c>
      <c r="J62" s="4" t="s">
        <v>2</v>
      </c>
      <c r="K62" s="5">
        <v>43365</v>
      </c>
      <c r="L62" s="3">
        <f t="shared" ca="1" si="0"/>
        <v>5.6444444444444448</v>
      </c>
    </row>
    <row r="63" spans="1:12" x14ac:dyDescent="0.25">
      <c r="A63" s="4">
        <v>62</v>
      </c>
      <c r="B63" s="4" t="s">
        <v>90</v>
      </c>
      <c r="C63" s="4" t="s">
        <v>478</v>
      </c>
      <c r="D63" s="4" t="s">
        <v>11</v>
      </c>
      <c r="E63" s="4" t="s">
        <v>17</v>
      </c>
      <c r="F63" s="6">
        <v>0.34</v>
      </c>
      <c r="G63" s="4">
        <v>4</v>
      </c>
      <c r="H63" s="2">
        <v>281422</v>
      </c>
      <c r="I63" s="4" t="s">
        <v>2</v>
      </c>
      <c r="J63" s="4" t="s">
        <v>1</v>
      </c>
      <c r="K63" s="5">
        <v>44154</v>
      </c>
      <c r="L63" s="3">
        <f t="shared" ca="1" si="0"/>
        <v>3.4861111111111112</v>
      </c>
    </row>
    <row r="64" spans="1:12" x14ac:dyDescent="0.25">
      <c r="A64" s="4">
        <v>63</v>
      </c>
      <c r="B64" s="4" t="s">
        <v>91</v>
      </c>
      <c r="C64" s="4" t="s">
        <v>445</v>
      </c>
      <c r="D64" s="4" t="s">
        <v>4</v>
      </c>
      <c r="E64" s="4" t="s">
        <v>15</v>
      </c>
      <c r="F64" s="6">
        <v>0.63</v>
      </c>
      <c r="G64" s="4">
        <v>2</v>
      </c>
      <c r="H64" s="2">
        <v>201734</v>
      </c>
      <c r="I64" s="4" t="s">
        <v>2</v>
      </c>
      <c r="J64" s="4" t="s">
        <v>2</v>
      </c>
      <c r="K64" s="5">
        <v>43001</v>
      </c>
      <c r="L64" s="3">
        <f t="shared" ca="1" si="0"/>
        <v>6.6416666666666666</v>
      </c>
    </row>
    <row r="65" spans="1:12" x14ac:dyDescent="0.25">
      <c r="A65" s="4">
        <v>64</v>
      </c>
      <c r="B65" s="4" t="s">
        <v>92</v>
      </c>
      <c r="C65" s="4" t="s">
        <v>484</v>
      </c>
      <c r="D65" s="4" t="s">
        <v>4</v>
      </c>
      <c r="E65" s="4" t="s">
        <v>16</v>
      </c>
      <c r="F65" s="6">
        <v>0.89</v>
      </c>
      <c r="G65" s="4">
        <v>0</v>
      </c>
      <c r="H65" s="2">
        <v>201737</v>
      </c>
      <c r="I65" s="4" t="s">
        <v>2</v>
      </c>
      <c r="J65" s="4" t="s">
        <v>1</v>
      </c>
      <c r="K65" s="5">
        <v>43176</v>
      </c>
      <c r="L65" s="3">
        <f t="shared" ca="1" si="0"/>
        <v>6.1583333333333332</v>
      </c>
    </row>
    <row r="66" spans="1:12" x14ac:dyDescent="0.25">
      <c r="A66" s="4">
        <v>65</v>
      </c>
      <c r="B66" s="4" t="s">
        <v>93</v>
      </c>
      <c r="C66" s="4" t="s">
        <v>451</v>
      </c>
      <c r="D66" s="4" t="s">
        <v>4</v>
      </c>
      <c r="E66" s="4" t="s">
        <v>19</v>
      </c>
      <c r="F66" s="6">
        <v>0</v>
      </c>
      <c r="G66" s="4">
        <v>0</v>
      </c>
      <c r="H66" s="2">
        <v>180506</v>
      </c>
      <c r="I66" s="4" t="s">
        <v>2</v>
      </c>
      <c r="J66" s="4" t="s">
        <v>2</v>
      </c>
      <c r="K66" s="5">
        <v>43244</v>
      </c>
      <c r="L66" s="3">
        <f t="shared" ca="1" si="0"/>
        <v>5.9722222222222223</v>
      </c>
    </row>
    <row r="67" spans="1:12" x14ac:dyDescent="0.25">
      <c r="A67" s="4">
        <v>66</v>
      </c>
      <c r="B67" s="4" t="s">
        <v>94</v>
      </c>
      <c r="C67" s="4" t="s">
        <v>440</v>
      </c>
      <c r="D67" s="4" t="s">
        <v>14</v>
      </c>
      <c r="E67" s="4" t="s">
        <v>15</v>
      </c>
      <c r="F67" s="6">
        <v>0.02</v>
      </c>
      <c r="G67" s="4">
        <v>0</v>
      </c>
      <c r="H67" s="2">
        <v>248144</v>
      </c>
      <c r="I67" s="4" t="s">
        <v>2</v>
      </c>
      <c r="J67" s="4" t="s">
        <v>2</v>
      </c>
      <c r="K67" s="5">
        <v>42879</v>
      </c>
      <c r="L67" s="3">
        <f t="shared" ref="L67:L130" ca="1" si="1">YEARFRAC(K67,TODAY())</f>
        <v>6.9722222222222223</v>
      </c>
    </row>
    <row r="68" spans="1:12" x14ac:dyDescent="0.25">
      <c r="A68" s="4">
        <v>67</v>
      </c>
      <c r="B68" s="4" t="s">
        <v>95</v>
      </c>
      <c r="C68" s="4" t="s">
        <v>472</v>
      </c>
      <c r="D68" s="4" t="s">
        <v>14</v>
      </c>
      <c r="E68" s="4" t="s">
        <v>20</v>
      </c>
      <c r="F68" s="6">
        <v>0.77</v>
      </c>
      <c r="G68" s="4">
        <v>3</v>
      </c>
      <c r="H68" s="2">
        <v>238338</v>
      </c>
      <c r="I68" s="4" t="s">
        <v>1</v>
      </c>
      <c r="J68" s="4" t="s">
        <v>1</v>
      </c>
      <c r="K68" s="5">
        <v>44018</v>
      </c>
      <c r="L68" s="3">
        <f t="shared" ca="1" si="1"/>
        <v>3.8555555555555556</v>
      </c>
    </row>
    <row r="69" spans="1:12" x14ac:dyDescent="0.25">
      <c r="A69" s="4">
        <v>68</v>
      </c>
      <c r="B69" s="4" t="s">
        <v>96</v>
      </c>
      <c r="C69" s="4" t="s">
        <v>463</v>
      </c>
      <c r="D69" s="4" t="s">
        <v>11</v>
      </c>
      <c r="E69" s="4" t="s">
        <v>3</v>
      </c>
      <c r="F69" s="6">
        <v>0.3</v>
      </c>
      <c r="G69" s="4">
        <v>1</v>
      </c>
      <c r="H69" s="2">
        <v>298152</v>
      </c>
      <c r="I69" s="4" t="s">
        <v>2</v>
      </c>
      <c r="J69" s="4" t="s">
        <v>2</v>
      </c>
      <c r="K69" s="5">
        <v>43529</v>
      </c>
      <c r="L69" s="3">
        <f t="shared" ca="1" si="1"/>
        <v>5.1916666666666664</v>
      </c>
    </row>
    <row r="70" spans="1:12" x14ac:dyDescent="0.25">
      <c r="A70" s="4">
        <v>69</v>
      </c>
      <c r="B70" s="4" t="s">
        <v>97</v>
      </c>
      <c r="C70" s="4" t="s">
        <v>470</v>
      </c>
      <c r="D70" s="4" t="s">
        <v>11</v>
      </c>
      <c r="E70" s="4" t="s">
        <v>3</v>
      </c>
      <c r="F70" s="6">
        <v>0.51</v>
      </c>
      <c r="G70" s="4">
        <v>4</v>
      </c>
      <c r="H70" s="2">
        <v>280162</v>
      </c>
      <c r="I70" s="4" t="s">
        <v>1</v>
      </c>
      <c r="J70" s="4" t="s">
        <v>1</v>
      </c>
      <c r="K70" s="5">
        <v>43514</v>
      </c>
      <c r="L70" s="3">
        <f t="shared" ca="1" si="1"/>
        <v>5.2388888888888889</v>
      </c>
    </row>
    <row r="71" spans="1:12" x14ac:dyDescent="0.25">
      <c r="A71" s="4">
        <v>70</v>
      </c>
      <c r="B71" s="4" t="s">
        <v>98</v>
      </c>
      <c r="C71" s="4" t="s">
        <v>442</v>
      </c>
      <c r="D71" s="4" t="s">
        <v>8</v>
      </c>
      <c r="E71" s="4" t="s">
        <v>21</v>
      </c>
      <c r="F71" s="6">
        <v>0.21</v>
      </c>
      <c r="G71" s="4">
        <v>3</v>
      </c>
      <c r="H71" s="2">
        <v>75325</v>
      </c>
      <c r="I71" s="4" t="s">
        <v>2</v>
      </c>
      <c r="J71" s="4" t="s">
        <v>2</v>
      </c>
      <c r="K71" s="5">
        <v>43461</v>
      </c>
      <c r="L71" s="3">
        <f t="shared" ca="1" si="1"/>
        <v>5.3805555555555555</v>
      </c>
    </row>
    <row r="72" spans="1:12" x14ac:dyDescent="0.25">
      <c r="A72" s="4">
        <v>71</v>
      </c>
      <c r="B72" s="4" t="s">
        <v>99</v>
      </c>
      <c r="C72" s="4" t="s">
        <v>438</v>
      </c>
      <c r="D72" s="4" t="s">
        <v>12</v>
      </c>
      <c r="E72" s="4" t="s">
        <v>3</v>
      </c>
      <c r="F72" s="6">
        <v>0.51</v>
      </c>
      <c r="G72" s="4">
        <v>5</v>
      </c>
      <c r="H72" s="2">
        <v>315486</v>
      </c>
      <c r="I72" s="4" t="s">
        <v>1</v>
      </c>
      <c r="J72" s="4" t="s">
        <v>1</v>
      </c>
      <c r="K72" s="5">
        <v>43165</v>
      </c>
      <c r="L72" s="3">
        <f t="shared" ca="1" si="1"/>
        <v>6.1888888888888891</v>
      </c>
    </row>
    <row r="73" spans="1:12" x14ac:dyDescent="0.25">
      <c r="A73" s="4">
        <v>72</v>
      </c>
      <c r="B73" s="4" t="s">
        <v>100</v>
      </c>
      <c r="C73" s="4" t="s">
        <v>455</v>
      </c>
      <c r="D73" s="4" t="s">
        <v>10</v>
      </c>
      <c r="E73" s="4" t="s">
        <v>17</v>
      </c>
      <c r="F73" s="6">
        <v>7.0000000000000007E-2</v>
      </c>
      <c r="G73" s="4">
        <v>3</v>
      </c>
      <c r="H73" s="2">
        <v>263257</v>
      </c>
      <c r="I73" s="4" t="s">
        <v>2</v>
      </c>
      <c r="J73" s="4" t="s">
        <v>2</v>
      </c>
      <c r="K73" s="5">
        <v>43643</v>
      </c>
      <c r="L73" s="3">
        <f t="shared" ca="1" si="1"/>
        <v>4.8805555555555555</v>
      </c>
    </row>
    <row r="74" spans="1:12" x14ac:dyDescent="0.25">
      <c r="A74" s="4">
        <v>73</v>
      </c>
      <c r="B74" s="4" t="s">
        <v>101</v>
      </c>
      <c r="C74" s="4" t="s">
        <v>453</v>
      </c>
      <c r="D74" s="4" t="s">
        <v>9</v>
      </c>
      <c r="E74" s="4" t="s">
        <v>17</v>
      </c>
      <c r="F74" s="6">
        <v>0.55000000000000004</v>
      </c>
      <c r="G74" s="4">
        <v>2</v>
      </c>
      <c r="H74" s="2">
        <v>136373</v>
      </c>
      <c r="I74" s="4" t="s">
        <v>2</v>
      </c>
      <c r="J74" s="4" t="s">
        <v>1</v>
      </c>
      <c r="K74" s="5">
        <v>43699</v>
      </c>
      <c r="L74" s="3">
        <f t="shared" ca="1" si="1"/>
        <v>4.7277777777777779</v>
      </c>
    </row>
    <row r="75" spans="1:12" x14ac:dyDescent="0.25">
      <c r="A75" s="4">
        <v>74</v>
      </c>
      <c r="B75" s="4" t="s">
        <v>102</v>
      </c>
      <c r="C75" s="4" t="s">
        <v>483</v>
      </c>
      <c r="D75" s="4" t="s">
        <v>8</v>
      </c>
      <c r="E75" s="4" t="s">
        <v>17</v>
      </c>
      <c r="F75" s="6">
        <v>0.61</v>
      </c>
      <c r="G75" s="4">
        <v>2</v>
      </c>
      <c r="H75" s="2">
        <v>98395</v>
      </c>
      <c r="I75" s="4" t="s">
        <v>2</v>
      </c>
      <c r="J75" s="4" t="s">
        <v>2</v>
      </c>
      <c r="K75" s="5">
        <v>44042</v>
      </c>
      <c r="L75" s="3">
        <f t="shared" ca="1" si="1"/>
        <v>3.7888888888888888</v>
      </c>
    </row>
    <row r="76" spans="1:12" x14ac:dyDescent="0.25">
      <c r="A76" s="4">
        <v>75</v>
      </c>
      <c r="B76" s="4" t="s">
        <v>103</v>
      </c>
      <c r="C76" s="4" t="s">
        <v>479</v>
      </c>
      <c r="D76" s="4" t="s">
        <v>10</v>
      </c>
      <c r="E76" s="4" t="s">
        <v>3</v>
      </c>
      <c r="F76" s="6">
        <v>0.8</v>
      </c>
      <c r="G76" s="4">
        <v>4</v>
      </c>
      <c r="H76" s="2">
        <v>266805</v>
      </c>
      <c r="I76" s="4" t="s">
        <v>2</v>
      </c>
      <c r="J76" s="4" t="s">
        <v>1</v>
      </c>
      <c r="K76" s="5">
        <v>43696</v>
      </c>
      <c r="L76" s="3">
        <f t="shared" ca="1" si="1"/>
        <v>4.7361111111111107</v>
      </c>
    </row>
    <row r="77" spans="1:12" x14ac:dyDescent="0.25">
      <c r="A77" s="4">
        <v>76</v>
      </c>
      <c r="B77" s="4" t="s">
        <v>104</v>
      </c>
      <c r="C77" s="4" t="s">
        <v>473</v>
      </c>
      <c r="D77" s="4" t="s">
        <v>4</v>
      </c>
      <c r="E77" s="4" t="s">
        <v>15</v>
      </c>
      <c r="F77" s="6">
        <v>0.21</v>
      </c>
      <c r="G77" s="4">
        <v>1</v>
      </c>
      <c r="H77" s="2">
        <v>187122</v>
      </c>
      <c r="I77" s="4" t="s">
        <v>2</v>
      </c>
      <c r="J77" s="4" t="s">
        <v>2</v>
      </c>
      <c r="K77" s="5">
        <v>43571</v>
      </c>
      <c r="L77" s="3">
        <f t="shared" ca="1" si="1"/>
        <v>5.0777777777777775</v>
      </c>
    </row>
    <row r="78" spans="1:12" x14ac:dyDescent="0.25">
      <c r="A78" s="4">
        <v>77</v>
      </c>
      <c r="B78" s="4" t="s">
        <v>105</v>
      </c>
      <c r="C78" s="4" t="s">
        <v>460</v>
      </c>
      <c r="D78" s="4" t="s">
        <v>9</v>
      </c>
      <c r="E78" s="4" t="s">
        <v>17</v>
      </c>
      <c r="F78" s="6">
        <v>0.36</v>
      </c>
      <c r="G78" s="4">
        <v>0</v>
      </c>
      <c r="H78" s="2">
        <v>107760</v>
      </c>
      <c r="I78" s="4" t="s">
        <v>2</v>
      </c>
      <c r="J78" s="4" t="s">
        <v>1</v>
      </c>
      <c r="K78" s="5">
        <v>43310</v>
      </c>
      <c r="L78" s="3">
        <f t="shared" ca="1" si="1"/>
        <v>5.791666666666667</v>
      </c>
    </row>
    <row r="79" spans="1:12" x14ac:dyDescent="0.25">
      <c r="A79" s="4">
        <v>78</v>
      </c>
      <c r="B79" s="4" t="s">
        <v>106</v>
      </c>
      <c r="C79" s="4" t="s">
        <v>436</v>
      </c>
      <c r="D79" s="4" t="s">
        <v>11</v>
      </c>
      <c r="E79" s="4" t="s">
        <v>17</v>
      </c>
      <c r="F79" s="6">
        <v>0.98</v>
      </c>
      <c r="G79" s="4">
        <v>2</v>
      </c>
      <c r="H79" s="2">
        <v>282496</v>
      </c>
      <c r="I79" s="4" t="s">
        <v>2</v>
      </c>
      <c r="J79" s="4" t="s">
        <v>2</v>
      </c>
      <c r="K79" s="5">
        <v>44085</v>
      </c>
      <c r="L79" s="3">
        <f t="shared" ca="1" si="1"/>
        <v>3.6749999999999998</v>
      </c>
    </row>
    <row r="80" spans="1:12" x14ac:dyDescent="0.25">
      <c r="A80" s="4">
        <v>79</v>
      </c>
      <c r="B80" s="4" t="s">
        <v>107</v>
      </c>
      <c r="C80" s="4" t="s">
        <v>456</v>
      </c>
      <c r="D80" s="4" t="s">
        <v>14</v>
      </c>
      <c r="E80" s="4" t="s">
        <v>15</v>
      </c>
      <c r="F80" s="6">
        <v>0.11</v>
      </c>
      <c r="G80" s="4">
        <v>3</v>
      </c>
      <c r="H80" s="2">
        <v>245792</v>
      </c>
      <c r="I80" s="4" t="s">
        <v>2</v>
      </c>
      <c r="J80" s="4" t="s">
        <v>2</v>
      </c>
      <c r="K80" s="5">
        <v>43150</v>
      </c>
      <c r="L80" s="3">
        <f t="shared" ca="1" si="1"/>
        <v>6.2361111111111107</v>
      </c>
    </row>
    <row r="81" spans="1:12" x14ac:dyDescent="0.25">
      <c r="A81" s="4">
        <v>80</v>
      </c>
      <c r="B81" s="4" t="s">
        <v>108</v>
      </c>
      <c r="C81" s="4" t="s">
        <v>441</v>
      </c>
      <c r="D81" s="4" t="s">
        <v>9</v>
      </c>
      <c r="E81" s="4" t="s">
        <v>16</v>
      </c>
      <c r="F81" s="6">
        <v>0.36</v>
      </c>
      <c r="G81" s="4">
        <v>1</v>
      </c>
      <c r="H81" s="2">
        <v>118655</v>
      </c>
      <c r="I81" s="4" t="s">
        <v>2</v>
      </c>
      <c r="J81" s="4" t="s">
        <v>2</v>
      </c>
      <c r="K81" s="5">
        <v>42967</v>
      </c>
      <c r="L81" s="3">
        <f t="shared" ca="1" si="1"/>
        <v>6.7333333333333334</v>
      </c>
    </row>
    <row r="82" spans="1:12" x14ac:dyDescent="0.25">
      <c r="A82" s="4">
        <v>81</v>
      </c>
      <c r="B82" s="4" t="s">
        <v>109</v>
      </c>
      <c r="C82" s="4" t="s">
        <v>452</v>
      </c>
      <c r="D82" s="4" t="s">
        <v>14</v>
      </c>
      <c r="E82" s="4" t="s">
        <v>18</v>
      </c>
      <c r="F82" s="6">
        <v>0.38</v>
      </c>
      <c r="G82" s="4">
        <v>0</v>
      </c>
      <c r="H82" s="2">
        <v>248615</v>
      </c>
      <c r="I82" s="4" t="s">
        <v>2</v>
      </c>
      <c r="J82" s="4" t="s">
        <v>2</v>
      </c>
      <c r="K82" s="5">
        <v>43944</v>
      </c>
      <c r="L82" s="3">
        <f t="shared" ca="1" si="1"/>
        <v>4.0583333333333336</v>
      </c>
    </row>
    <row r="83" spans="1:12" x14ac:dyDescent="0.25">
      <c r="A83" s="4">
        <v>82</v>
      </c>
      <c r="B83" s="4" t="s">
        <v>110</v>
      </c>
      <c r="C83" s="4" t="s">
        <v>444</v>
      </c>
      <c r="D83" s="4" t="s">
        <v>9</v>
      </c>
      <c r="E83" s="4" t="s">
        <v>21</v>
      </c>
      <c r="F83" s="6">
        <v>0.51</v>
      </c>
      <c r="G83" s="4">
        <v>5</v>
      </c>
      <c r="H83" s="2">
        <v>148570</v>
      </c>
      <c r="I83" s="4" t="s">
        <v>2</v>
      </c>
      <c r="J83" s="4" t="s">
        <v>1</v>
      </c>
      <c r="K83" s="5">
        <v>43982</v>
      </c>
      <c r="L83" s="3">
        <f t="shared" ca="1" si="1"/>
        <v>3.9555555555555557</v>
      </c>
    </row>
    <row r="84" spans="1:12" x14ac:dyDescent="0.25">
      <c r="A84" s="4">
        <v>84</v>
      </c>
      <c r="B84" s="4" t="s">
        <v>111</v>
      </c>
      <c r="C84" s="4" t="s">
        <v>465</v>
      </c>
      <c r="D84" s="4" t="s">
        <v>14</v>
      </c>
      <c r="E84" s="4" t="s">
        <v>21</v>
      </c>
      <c r="F84" s="6">
        <v>0.74</v>
      </c>
      <c r="G84" s="4">
        <v>1</v>
      </c>
      <c r="H84" s="2">
        <v>237416</v>
      </c>
      <c r="I84" s="4" t="s">
        <v>2</v>
      </c>
      <c r="J84" s="4" t="s">
        <v>1</v>
      </c>
      <c r="K84" s="5">
        <v>43351</v>
      </c>
      <c r="L84" s="3">
        <f t="shared" ca="1" si="1"/>
        <v>5.6833333333333336</v>
      </c>
    </row>
    <row r="85" spans="1:12" x14ac:dyDescent="0.25">
      <c r="A85" s="4">
        <v>85</v>
      </c>
      <c r="B85" s="4" t="s">
        <v>112</v>
      </c>
      <c r="C85" s="4" t="s">
        <v>439</v>
      </c>
      <c r="D85" s="4" t="s">
        <v>9</v>
      </c>
      <c r="E85" s="4" t="s">
        <v>17</v>
      </c>
      <c r="F85" s="6">
        <v>0.66</v>
      </c>
      <c r="G85" s="4">
        <v>0</v>
      </c>
      <c r="H85" s="2">
        <v>121515</v>
      </c>
      <c r="I85" s="4" t="s">
        <v>2</v>
      </c>
      <c r="J85" s="4" t="s">
        <v>1</v>
      </c>
      <c r="K85" s="5">
        <v>42892</v>
      </c>
      <c r="L85" s="3">
        <f t="shared" ca="1" si="1"/>
        <v>6.9388888888888891</v>
      </c>
    </row>
    <row r="86" spans="1:12" x14ac:dyDescent="0.25">
      <c r="A86" s="4">
        <v>86</v>
      </c>
      <c r="B86" s="4" t="s">
        <v>113</v>
      </c>
      <c r="C86" s="4" t="s">
        <v>468</v>
      </c>
      <c r="D86" s="4" t="s">
        <v>9</v>
      </c>
      <c r="E86" s="4" t="s">
        <v>3</v>
      </c>
      <c r="F86" s="6">
        <v>0.3</v>
      </c>
      <c r="G86" s="4">
        <v>2</v>
      </c>
      <c r="H86" s="2">
        <v>136730</v>
      </c>
      <c r="I86" s="4" t="s">
        <v>2</v>
      </c>
      <c r="J86" s="4" t="s">
        <v>1</v>
      </c>
      <c r="K86" s="5">
        <v>43054</v>
      </c>
      <c r="L86" s="3">
        <f t="shared" ca="1" si="1"/>
        <v>6.4972222222222218</v>
      </c>
    </row>
    <row r="87" spans="1:12" x14ac:dyDescent="0.25">
      <c r="A87" s="4">
        <v>87</v>
      </c>
      <c r="B87" s="4" t="s">
        <v>114</v>
      </c>
      <c r="C87" s="4" t="s">
        <v>461</v>
      </c>
      <c r="D87" s="4" t="s">
        <v>9</v>
      </c>
      <c r="E87" s="4" t="s">
        <v>20</v>
      </c>
      <c r="F87" s="6">
        <v>0.8</v>
      </c>
      <c r="G87" s="4">
        <v>3</v>
      </c>
      <c r="H87" s="2">
        <v>142420</v>
      </c>
      <c r="I87" s="4" t="s">
        <v>2</v>
      </c>
      <c r="J87" s="4" t="s">
        <v>2</v>
      </c>
      <c r="K87" s="5">
        <v>43774</v>
      </c>
      <c r="L87" s="3">
        <f t="shared" ca="1" si="1"/>
        <v>4.5250000000000004</v>
      </c>
    </row>
    <row r="88" spans="1:12" x14ac:dyDescent="0.25">
      <c r="A88" s="4">
        <v>89</v>
      </c>
      <c r="B88" s="4" t="s">
        <v>115</v>
      </c>
      <c r="C88" s="4" t="s">
        <v>447</v>
      </c>
      <c r="D88" s="4" t="s">
        <v>12</v>
      </c>
      <c r="E88" s="4" t="s">
        <v>21</v>
      </c>
      <c r="F88" s="6">
        <v>0.75</v>
      </c>
      <c r="G88" s="4">
        <v>2</v>
      </c>
      <c r="H88" s="2">
        <v>325389</v>
      </c>
      <c r="I88" s="4" t="s">
        <v>1</v>
      </c>
      <c r="J88" s="4" t="s">
        <v>1</v>
      </c>
      <c r="K88" s="5">
        <v>43950</v>
      </c>
      <c r="L88" s="3">
        <f t="shared" ca="1" si="1"/>
        <v>4.041666666666667</v>
      </c>
    </row>
    <row r="89" spans="1:12" x14ac:dyDescent="0.25">
      <c r="A89" s="4">
        <v>90</v>
      </c>
      <c r="B89" s="4" t="s">
        <v>116</v>
      </c>
      <c r="C89" s="4" t="s">
        <v>454</v>
      </c>
      <c r="D89" s="4" t="s">
        <v>9</v>
      </c>
      <c r="E89" s="4" t="s">
        <v>19</v>
      </c>
      <c r="F89" s="6">
        <v>0</v>
      </c>
      <c r="G89" s="4">
        <v>3</v>
      </c>
      <c r="H89" s="2">
        <v>109896</v>
      </c>
      <c r="I89" s="4" t="s">
        <v>2</v>
      </c>
      <c r="J89" s="4" t="s">
        <v>2</v>
      </c>
      <c r="K89" s="5">
        <v>42901</v>
      </c>
      <c r="L89" s="3">
        <f t="shared" ca="1" si="1"/>
        <v>6.9138888888888888</v>
      </c>
    </row>
    <row r="90" spans="1:12" x14ac:dyDescent="0.25">
      <c r="A90" s="4">
        <v>91</v>
      </c>
      <c r="B90" s="4" t="s">
        <v>117</v>
      </c>
      <c r="C90" s="4" t="s">
        <v>480</v>
      </c>
      <c r="D90" s="4" t="s">
        <v>10</v>
      </c>
      <c r="E90" s="4" t="s">
        <v>19</v>
      </c>
      <c r="F90" s="6">
        <v>0</v>
      </c>
      <c r="G90" s="4">
        <v>5</v>
      </c>
      <c r="H90" s="2">
        <v>252253</v>
      </c>
      <c r="I90" s="4" t="s">
        <v>2</v>
      </c>
      <c r="J90" s="4" t="s">
        <v>1</v>
      </c>
      <c r="K90" s="5">
        <v>43019</v>
      </c>
      <c r="L90" s="3">
        <f t="shared" ca="1" si="1"/>
        <v>6.5916666666666668</v>
      </c>
    </row>
    <row r="91" spans="1:12" x14ac:dyDescent="0.25">
      <c r="A91" s="4">
        <v>92</v>
      </c>
      <c r="B91" s="4" t="s">
        <v>118</v>
      </c>
      <c r="C91" s="4" t="s">
        <v>474</v>
      </c>
      <c r="D91" s="4" t="s">
        <v>9</v>
      </c>
      <c r="E91" s="4" t="s">
        <v>20</v>
      </c>
      <c r="F91" s="6">
        <v>0.91</v>
      </c>
      <c r="G91" s="4">
        <v>0</v>
      </c>
      <c r="H91" s="2">
        <v>142641</v>
      </c>
      <c r="I91" s="4" t="s">
        <v>2</v>
      </c>
      <c r="J91" s="4" t="s">
        <v>2</v>
      </c>
      <c r="K91" s="5">
        <v>43378</v>
      </c>
      <c r="L91" s="3">
        <f t="shared" ca="1" si="1"/>
        <v>5.6083333333333334</v>
      </c>
    </row>
    <row r="92" spans="1:12" x14ac:dyDescent="0.25">
      <c r="A92" s="4">
        <v>93</v>
      </c>
      <c r="B92" s="4" t="s">
        <v>119</v>
      </c>
      <c r="C92" s="4" t="s">
        <v>477</v>
      </c>
      <c r="D92" s="4" t="s">
        <v>8</v>
      </c>
      <c r="E92" s="4" t="s">
        <v>21</v>
      </c>
      <c r="F92" s="6">
        <v>0.35</v>
      </c>
      <c r="G92" s="4">
        <v>2</v>
      </c>
      <c r="H92" s="2">
        <v>72954</v>
      </c>
      <c r="I92" s="4" t="s">
        <v>2</v>
      </c>
      <c r="J92" s="4" t="s">
        <v>2</v>
      </c>
      <c r="K92" s="5">
        <v>43563</v>
      </c>
      <c r="L92" s="3">
        <f t="shared" ca="1" si="1"/>
        <v>5.0999999999999996</v>
      </c>
    </row>
    <row r="93" spans="1:12" x14ac:dyDescent="0.25">
      <c r="A93" s="4">
        <v>94</v>
      </c>
      <c r="B93" s="4" t="s">
        <v>120</v>
      </c>
      <c r="C93" s="4" t="s">
        <v>481</v>
      </c>
      <c r="D93" s="4" t="s">
        <v>8</v>
      </c>
      <c r="E93" s="4" t="s">
        <v>16</v>
      </c>
      <c r="F93" s="6">
        <v>0.63</v>
      </c>
      <c r="G93" s="4">
        <v>1</v>
      </c>
      <c r="H93" s="2">
        <v>61901</v>
      </c>
      <c r="I93" s="4" t="s">
        <v>2</v>
      </c>
      <c r="J93" s="4" t="s">
        <v>2</v>
      </c>
      <c r="K93" s="5">
        <v>43479</v>
      </c>
      <c r="L93" s="3">
        <f t="shared" ca="1" si="1"/>
        <v>5.333333333333333</v>
      </c>
    </row>
    <row r="94" spans="1:12" x14ac:dyDescent="0.25">
      <c r="A94" s="4">
        <v>95</v>
      </c>
      <c r="B94" s="4" t="s">
        <v>121</v>
      </c>
      <c r="C94" s="4" t="s">
        <v>437</v>
      </c>
      <c r="D94" s="4" t="s">
        <v>9</v>
      </c>
      <c r="E94" s="4" t="s">
        <v>3</v>
      </c>
      <c r="F94" s="6">
        <v>0.49</v>
      </c>
      <c r="G94" s="4">
        <v>2</v>
      </c>
      <c r="H94" s="2">
        <v>147563</v>
      </c>
      <c r="I94" s="4" t="s">
        <v>2</v>
      </c>
      <c r="J94" s="4" t="s">
        <v>1</v>
      </c>
      <c r="K94" s="5">
        <v>43626</v>
      </c>
      <c r="L94" s="3">
        <f t="shared" ca="1" si="1"/>
        <v>4.927777777777778</v>
      </c>
    </row>
    <row r="95" spans="1:12" x14ac:dyDescent="0.25">
      <c r="A95" s="4">
        <v>97</v>
      </c>
      <c r="B95" s="4" t="s">
        <v>122</v>
      </c>
      <c r="C95" s="4" t="s">
        <v>475</v>
      </c>
      <c r="D95" s="4" t="s">
        <v>13</v>
      </c>
      <c r="E95" s="4" t="s">
        <v>13</v>
      </c>
      <c r="F95" s="6">
        <v>0.82</v>
      </c>
      <c r="G95" s="4">
        <v>5</v>
      </c>
      <c r="H95" s="2">
        <v>350000</v>
      </c>
      <c r="I95" s="4" t="s">
        <v>1</v>
      </c>
      <c r="J95" s="4" t="s">
        <v>1</v>
      </c>
      <c r="K95" s="5">
        <v>43623</v>
      </c>
      <c r="L95" s="3">
        <f t="shared" ca="1" si="1"/>
        <v>4.9361111111111109</v>
      </c>
    </row>
    <row r="96" spans="1:12" x14ac:dyDescent="0.25">
      <c r="A96" s="4">
        <v>98</v>
      </c>
      <c r="B96" s="4" t="s">
        <v>123</v>
      </c>
      <c r="C96" s="4" t="s">
        <v>459</v>
      </c>
      <c r="D96" s="4" t="s">
        <v>9</v>
      </c>
      <c r="E96" s="4" t="s">
        <v>21</v>
      </c>
      <c r="F96" s="6">
        <v>0.81</v>
      </c>
      <c r="G96" s="4">
        <v>0</v>
      </c>
      <c r="H96" s="2">
        <v>111587</v>
      </c>
      <c r="I96" s="4" t="s">
        <v>2</v>
      </c>
      <c r="J96" s="4" t="s">
        <v>2</v>
      </c>
      <c r="K96" s="5">
        <v>43548</v>
      </c>
      <c r="L96" s="3">
        <f t="shared" ca="1" si="1"/>
        <v>5.1388888888888893</v>
      </c>
    </row>
    <row r="97" spans="1:12" x14ac:dyDescent="0.25">
      <c r="A97" s="4">
        <v>99</v>
      </c>
      <c r="B97" s="4" t="s">
        <v>124</v>
      </c>
      <c r="C97" s="4" t="s">
        <v>471</v>
      </c>
      <c r="D97" s="4" t="s">
        <v>4</v>
      </c>
      <c r="E97" s="4" t="s">
        <v>18</v>
      </c>
      <c r="F97" s="6">
        <v>0.55000000000000004</v>
      </c>
      <c r="G97" s="4">
        <v>2</v>
      </c>
      <c r="H97" s="2">
        <v>198950</v>
      </c>
      <c r="I97" s="4" t="s">
        <v>2</v>
      </c>
      <c r="J97" s="4" t="s">
        <v>2</v>
      </c>
      <c r="K97" s="5">
        <v>42966</v>
      </c>
      <c r="L97" s="3">
        <f t="shared" ca="1" si="1"/>
        <v>6.7361111111111107</v>
      </c>
    </row>
    <row r="98" spans="1:12" x14ac:dyDescent="0.25">
      <c r="A98" s="4">
        <v>100</v>
      </c>
      <c r="B98" s="4" t="s">
        <v>125</v>
      </c>
      <c r="C98" s="4" t="s">
        <v>485</v>
      </c>
      <c r="D98" s="4" t="s">
        <v>14</v>
      </c>
      <c r="E98" s="4" t="s">
        <v>19</v>
      </c>
      <c r="F98" s="6">
        <v>0</v>
      </c>
      <c r="G98" s="4">
        <v>3</v>
      </c>
      <c r="H98" s="2">
        <v>229818</v>
      </c>
      <c r="I98" s="4" t="s">
        <v>2</v>
      </c>
      <c r="J98" s="4" t="s">
        <v>2</v>
      </c>
      <c r="K98" s="5">
        <v>42939</v>
      </c>
      <c r="L98" s="3">
        <f t="shared" ca="1" si="1"/>
        <v>6.8083333333333336</v>
      </c>
    </row>
    <row r="99" spans="1:12" x14ac:dyDescent="0.25">
      <c r="A99" s="4">
        <v>101</v>
      </c>
      <c r="B99" s="4" t="s">
        <v>126</v>
      </c>
      <c r="C99" s="4" t="s">
        <v>443</v>
      </c>
      <c r="D99" s="4" t="s">
        <v>8</v>
      </c>
      <c r="E99" s="4" t="s">
        <v>18</v>
      </c>
      <c r="F99" s="6">
        <v>0.94</v>
      </c>
      <c r="G99" s="4">
        <v>4</v>
      </c>
      <c r="H99" s="2">
        <v>89834</v>
      </c>
      <c r="I99" s="4" t="s">
        <v>2</v>
      </c>
      <c r="J99" s="4" t="s">
        <v>1</v>
      </c>
      <c r="K99" s="5">
        <v>43988</v>
      </c>
      <c r="L99" s="3">
        <f t="shared" ca="1" si="1"/>
        <v>3.9388888888888891</v>
      </c>
    </row>
    <row r="100" spans="1:12" x14ac:dyDescent="0.25">
      <c r="A100" s="4">
        <v>102</v>
      </c>
      <c r="B100" s="4" t="s">
        <v>127</v>
      </c>
      <c r="C100" s="4" t="s">
        <v>450</v>
      </c>
      <c r="D100" s="4" t="s">
        <v>9</v>
      </c>
      <c r="E100" s="4" t="s">
        <v>17</v>
      </c>
      <c r="F100" s="6">
        <v>0.28000000000000003</v>
      </c>
      <c r="G100" s="4">
        <v>2</v>
      </c>
      <c r="H100" s="2">
        <v>142241</v>
      </c>
      <c r="I100" s="4" t="s">
        <v>2</v>
      </c>
      <c r="J100" s="4" t="s">
        <v>2</v>
      </c>
      <c r="K100" s="5">
        <v>42846</v>
      </c>
      <c r="L100" s="3">
        <f t="shared" ca="1" si="1"/>
        <v>7.0638888888888891</v>
      </c>
    </row>
    <row r="101" spans="1:12" x14ac:dyDescent="0.25">
      <c r="A101" s="4">
        <v>103</v>
      </c>
      <c r="B101" s="4" t="s">
        <v>128</v>
      </c>
      <c r="C101" s="4" t="s">
        <v>458</v>
      </c>
      <c r="D101" s="4" t="s">
        <v>9</v>
      </c>
      <c r="E101" s="4" t="s">
        <v>20</v>
      </c>
      <c r="F101" s="6">
        <v>0.97</v>
      </c>
      <c r="G101" s="4">
        <v>2</v>
      </c>
      <c r="H101" s="2">
        <v>144437</v>
      </c>
      <c r="I101" s="4" t="s">
        <v>2</v>
      </c>
      <c r="J101" s="4" t="s">
        <v>1</v>
      </c>
      <c r="K101" s="5">
        <v>43202</v>
      </c>
      <c r="L101" s="3">
        <f t="shared" ca="1" si="1"/>
        <v>6.0888888888888886</v>
      </c>
    </row>
    <row r="102" spans="1:12" x14ac:dyDescent="0.25">
      <c r="A102" s="4">
        <v>104</v>
      </c>
      <c r="B102" s="4" t="s">
        <v>129</v>
      </c>
      <c r="C102" s="4" t="s">
        <v>445</v>
      </c>
      <c r="D102" s="4" t="s">
        <v>9</v>
      </c>
      <c r="E102" s="4" t="s">
        <v>19</v>
      </c>
      <c r="F102" s="6">
        <v>0</v>
      </c>
      <c r="G102" s="4">
        <v>0</v>
      </c>
      <c r="H102" s="2">
        <v>117420</v>
      </c>
      <c r="I102" s="4" t="s">
        <v>2</v>
      </c>
      <c r="J102" s="4" t="s">
        <v>1</v>
      </c>
      <c r="K102" s="5">
        <v>43879</v>
      </c>
      <c r="L102" s="3">
        <f t="shared" ca="1" si="1"/>
        <v>4.2388888888888889</v>
      </c>
    </row>
    <row r="103" spans="1:12" x14ac:dyDescent="0.25">
      <c r="A103" s="4">
        <v>106</v>
      </c>
      <c r="B103" s="4" t="s">
        <v>130</v>
      </c>
      <c r="C103" s="4" t="s">
        <v>460</v>
      </c>
      <c r="D103" s="4" t="s">
        <v>9</v>
      </c>
      <c r="E103" s="4" t="s">
        <v>21</v>
      </c>
      <c r="F103" s="6">
        <v>0.87</v>
      </c>
      <c r="G103" s="4">
        <v>3</v>
      </c>
      <c r="H103" s="2">
        <v>115851</v>
      </c>
      <c r="I103" s="4" t="s">
        <v>2</v>
      </c>
      <c r="J103" s="4" t="s">
        <v>2</v>
      </c>
      <c r="K103" s="5">
        <v>43837</v>
      </c>
      <c r="L103" s="3">
        <f t="shared" ca="1" si="1"/>
        <v>4.3527777777777779</v>
      </c>
    </row>
    <row r="104" spans="1:12" x14ac:dyDescent="0.25">
      <c r="A104" s="4">
        <v>107</v>
      </c>
      <c r="B104" s="4" t="s">
        <v>131</v>
      </c>
      <c r="C104" s="4" t="s">
        <v>463</v>
      </c>
      <c r="D104" s="4" t="s">
        <v>14</v>
      </c>
      <c r="E104" s="4" t="s">
        <v>21</v>
      </c>
      <c r="F104" s="6">
        <v>0.36</v>
      </c>
      <c r="G104" s="4">
        <v>4</v>
      </c>
      <c r="H104" s="2">
        <v>230516</v>
      </c>
      <c r="I104" s="4" t="s">
        <v>1</v>
      </c>
      <c r="J104" s="4" t="s">
        <v>1</v>
      </c>
      <c r="K104" s="5">
        <v>43865</v>
      </c>
      <c r="L104" s="3">
        <f t="shared" ca="1" si="1"/>
        <v>4.2777777777777777</v>
      </c>
    </row>
    <row r="105" spans="1:12" x14ac:dyDescent="0.25">
      <c r="A105" s="4">
        <v>108</v>
      </c>
      <c r="B105" s="4" t="s">
        <v>132</v>
      </c>
      <c r="C105" s="4" t="s">
        <v>468</v>
      </c>
      <c r="D105" s="4" t="s">
        <v>14</v>
      </c>
      <c r="E105" s="4" t="s">
        <v>19</v>
      </c>
      <c r="F105" s="6">
        <v>0</v>
      </c>
      <c r="G105" s="4">
        <v>2</v>
      </c>
      <c r="H105" s="2">
        <v>241734</v>
      </c>
      <c r="I105" s="4" t="s">
        <v>2</v>
      </c>
      <c r="J105" s="4" t="s">
        <v>2</v>
      </c>
      <c r="K105" s="5">
        <v>43628</v>
      </c>
      <c r="L105" s="3">
        <f t="shared" ca="1" si="1"/>
        <v>4.9222222222222225</v>
      </c>
    </row>
    <row r="106" spans="1:12" x14ac:dyDescent="0.25">
      <c r="A106" s="4">
        <v>109</v>
      </c>
      <c r="B106" s="4" t="s">
        <v>133</v>
      </c>
      <c r="C106" s="4" t="s">
        <v>482</v>
      </c>
      <c r="D106" s="4" t="s">
        <v>4</v>
      </c>
      <c r="E106" s="4" t="s">
        <v>3</v>
      </c>
      <c r="F106" s="6">
        <v>0.92</v>
      </c>
      <c r="G106" s="4">
        <v>5</v>
      </c>
      <c r="H106" s="2">
        <v>194140</v>
      </c>
      <c r="I106" s="4" t="s">
        <v>2</v>
      </c>
      <c r="J106" s="4" t="s">
        <v>1</v>
      </c>
      <c r="K106" s="5">
        <v>43826</v>
      </c>
      <c r="L106" s="3">
        <f t="shared" ca="1" si="1"/>
        <v>4.3805555555555555</v>
      </c>
    </row>
    <row r="107" spans="1:12" x14ac:dyDescent="0.25">
      <c r="A107" s="4">
        <v>110</v>
      </c>
      <c r="B107" s="4" t="s">
        <v>134</v>
      </c>
      <c r="C107" s="4" t="s">
        <v>464</v>
      </c>
      <c r="D107" s="4" t="s">
        <v>10</v>
      </c>
      <c r="E107" s="4" t="s">
        <v>16</v>
      </c>
      <c r="F107" s="6">
        <v>0.84</v>
      </c>
      <c r="G107" s="4">
        <v>1</v>
      </c>
      <c r="H107" s="2">
        <v>273390</v>
      </c>
      <c r="I107" s="4" t="s">
        <v>2</v>
      </c>
      <c r="J107" s="4" t="s">
        <v>2</v>
      </c>
      <c r="K107" s="5">
        <v>43804</v>
      </c>
      <c r="L107" s="3">
        <f t="shared" ca="1" si="1"/>
        <v>4.4416666666666664</v>
      </c>
    </row>
    <row r="108" spans="1:12" x14ac:dyDescent="0.25">
      <c r="A108" s="4">
        <v>111</v>
      </c>
      <c r="B108" s="4" t="s">
        <v>135</v>
      </c>
      <c r="C108" s="4" t="s">
        <v>437</v>
      </c>
      <c r="D108" s="4" t="s">
        <v>8</v>
      </c>
      <c r="E108" s="4" t="s">
        <v>20</v>
      </c>
      <c r="F108" s="6">
        <v>0.94</v>
      </c>
      <c r="G108" s="4">
        <v>3</v>
      </c>
      <c r="H108" s="2">
        <v>61323</v>
      </c>
      <c r="I108" s="4" t="s">
        <v>2</v>
      </c>
      <c r="J108" s="4" t="s">
        <v>1</v>
      </c>
      <c r="K108" s="5">
        <v>43087</v>
      </c>
      <c r="L108" s="3">
        <f t="shared" ca="1" si="1"/>
        <v>6.4055555555555559</v>
      </c>
    </row>
    <row r="109" spans="1:12" x14ac:dyDescent="0.25">
      <c r="A109" s="4">
        <v>112</v>
      </c>
      <c r="B109" s="4" t="s">
        <v>136</v>
      </c>
      <c r="C109" s="4" t="s">
        <v>439</v>
      </c>
      <c r="D109" s="4" t="s">
        <v>10</v>
      </c>
      <c r="E109" s="4" t="s">
        <v>16</v>
      </c>
      <c r="F109" s="6">
        <v>0.98</v>
      </c>
      <c r="G109" s="4">
        <v>3</v>
      </c>
      <c r="H109" s="2">
        <v>271102</v>
      </c>
      <c r="I109" s="4" t="s">
        <v>2</v>
      </c>
      <c r="J109" s="4" t="s">
        <v>2</v>
      </c>
      <c r="K109" s="5">
        <v>42993</v>
      </c>
      <c r="L109" s="3">
        <f t="shared" ca="1" si="1"/>
        <v>6.6638888888888888</v>
      </c>
    </row>
    <row r="110" spans="1:12" x14ac:dyDescent="0.25">
      <c r="A110" s="4">
        <v>113</v>
      </c>
      <c r="B110" s="4" t="s">
        <v>137</v>
      </c>
      <c r="C110" s="4" t="s">
        <v>446</v>
      </c>
      <c r="D110" s="4" t="s">
        <v>14</v>
      </c>
      <c r="E110" s="4" t="s">
        <v>20</v>
      </c>
      <c r="F110" s="6">
        <v>0.51</v>
      </c>
      <c r="G110" s="4">
        <v>2</v>
      </c>
      <c r="H110" s="2">
        <v>245096</v>
      </c>
      <c r="I110" s="4" t="s">
        <v>2</v>
      </c>
      <c r="J110" s="4" t="s">
        <v>2</v>
      </c>
      <c r="K110" s="5">
        <v>43225</v>
      </c>
      <c r="L110" s="3">
        <f t="shared" ca="1" si="1"/>
        <v>6.0250000000000004</v>
      </c>
    </row>
    <row r="111" spans="1:12" x14ac:dyDescent="0.25">
      <c r="A111" s="4">
        <v>114</v>
      </c>
      <c r="B111" s="4" t="s">
        <v>138</v>
      </c>
      <c r="C111" s="4" t="s">
        <v>474</v>
      </c>
      <c r="D111" s="4" t="s">
        <v>4</v>
      </c>
      <c r="E111" s="4" t="s">
        <v>21</v>
      </c>
      <c r="F111" s="6">
        <v>0.73</v>
      </c>
      <c r="G111" s="4">
        <v>2</v>
      </c>
      <c r="H111" s="2">
        <v>201331</v>
      </c>
      <c r="I111" s="4" t="s">
        <v>2</v>
      </c>
      <c r="J111" s="4" t="s">
        <v>2</v>
      </c>
      <c r="K111" s="5">
        <v>43270</v>
      </c>
      <c r="L111" s="3">
        <f t="shared" ca="1" si="1"/>
        <v>5.9027777777777777</v>
      </c>
    </row>
    <row r="112" spans="1:12" x14ac:dyDescent="0.25">
      <c r="A112" s="4">
        <v>115</v>
      </c>
      <c r="B112" s="4" t="s">
        <v>139</v>
      </c>
      <c r="C112" s="4" t="s">
        <v>466</v>
      </c>
      <c r="D112" s="4" t="s">
        <v>4</v>
      </c>
      <c r="E112" s="4" t="s">
        <v>16</v>
      </c>
      <c r="F112" s="6">
        <v>0.62</v>
      </c>
      <c r="G112" s="4">
        <v>4</v>
      </c>
      <c r="H112" s="2">
        <v>191374</v>
      </c>
      <c r="I112" s="4" t="s">
        <v>2</v>
      </c>
      <c r="J112" s="4" t="s">
        <v>1</v>
      </c>
      <c r="K112" s="5">
        <v>42994</v>
      </c>
      <c r="L112" s="3">
        <f t="shared" ca="1" si="1"/>
        <v>6.6611111111111114</v>
      </c>
    </row>
    <row r="113" spans="1:12" x14ac:dyDescent="0.25">
      <c r="A113" s="4">
        <v>116</v>
      </c>
      <c r="B113" s="4" t="s">
        <v>140</v>
      </c>
      <c r="C113" s="4" t="s">
        <v>443</v>
      </c>
      <c r="D113" s="4" t="s">
        <v>4</v>
      </c>
      <c r="E113" s="4" t="s">
        <v>15</v>
      </c>
      <c r="F113" s="6">
        <v>0.97</v>
      </c>
      <c r="G113" s="4">
        <v>3</v>
      </c>
      <c r="H113" s="2">
        <v>207562</v>
      </c>
      <c r="I113" s="4" t="s">
        <v>2</v>
      </c>
      <c r="J113" s="4" t="s">
        <v>2</v>
      </c>
      <c r="K113" s="5">
        <v>43860</v>
      </c>
      <c r="L113" s="3">
        <f t="shared" ca="1" si="1"/>
        <v>4.2888888888888888</v>
      </c>
    </row>
    <row r="114" spans="1:12" x14ac:dyDescent="0.25">
      <c r="A114" s="4">
        <v>117</v>
      </c>
      <c r="B114" s="4" t="s">
        <v>141</v>
      </c>
      <c r="C114" s="4" t="s">
        <v>451</v>
      </c>
      <c r="D114" s="4" t="s">
        <v>14</v>
      </c>
      <c r="E114" s="4" t="s">
        <v>18</v>
      </c>
      <c r="F114" s="6">
        <v>0.85</v>
      </c>
      <c r="G114" s="4">
        <v>1</v>
      </c>
      <c r="H114" s="2">
        <v>246716</v>
      </c>
      <c r="I114" s="4" t="s">
        <v>2</v>
      </c>
      <c r="J114" s="4" t="s">
        <v>2</v>
      </c>
      <c r="K114" s="5">
        <v>43796</v>
      </c>
      <c r="L114" s="3">
        <f t="shared" ca="1" si="1"/>
        <v>4.4638888888888886</v>
      </c>
    </row>
    <row r="115" spans="1:12" x14ac:dyDescent="0.25">
      <c r="A115" s="4">
        <v>118</v>
      </c>
      <c r="B115" s="4" t="s">
        <v>142</v>
      </c>
      <c r="C115" s="4" t="s">
        <v>438</v>
      </c>
      <c r="D115" s="4" t="s">
        <v>9</v>
      </c>
      <c r="E115" s="4" t="s">
        <v>17</v>
      </c>
      <c r="F115" s="6">
        <v>0.97</v>
      </c>
      <c r="G115" s="4">
        <v>0</v>
      </c>
      <c r="H115" s="2">
        <v>100928</v>
      </c>
      <c r="I115" s="4" t="s">
        <v>2</v>
      </c>
      <c r="J115" s="4" t="s">
        <v>2</v>
      </c>
      <c r="K115" s="5">
        <v>43367</v>
      </c>
      <c r="L115" s="3">
        <f t="shared" ca="1" si="1"/>
        <v>5.6388888888888893</v>
      </c>
    </row>
    <row r="116" spans="1:12" x14ac:dyDescent="0.25">
      <c r="A116" s="4">
        <v>119</v>
      </c>
      <c r="B116" s="4" t="s">
        <v>143</v>
      </c>
      <c r="C116" s="4" t="s">
        <v>475</v>
      </c>
      <c r="D116" s="4" t="s">
        <v>14</v>
      </c>
      <c r="E116" s="4" t="s">
        <v>21</v>
      </c>
      <c r="F116" s="6">
        <v>0.17</v>
      </c>
      <c r="G116" s="4">
        <v>3</v>
      </c>
      <c r="H116" s="2">
        <v>228460</v>
      </c>
      <c r="I116" s="4" t="s">
        <v>2</v>
      </c>
      <c r="J116" s="4" t="s">
        <v>2</v>
      </c>
      <c r="K116" s="5">
        <v>43849</v>
      </c>
      <c r="L116" s="3">
        <f t="shared" ca="1" si="1"/>
        <v>4.3194444444444446</v>
      </c>
    </row>
    <row r="117" spans="1:12" x14ac:dyDescent="0.25">
      <c r="A117" s="4">
        <v>120</v>
      </c>
      <c r="B117" s="4" t="s">
        <v>144</v>
      </c>
      <c r="C117" s="4" t="s">
        <v>478</v>
      </c>
      <c r="D117" s="4" t="s">
        <v>9</v>
      </c>
      <c r="E117" s="4" t="s">
        <v>21</v>
      </c>
      <c r="F117" s="6">
        <v>0.98</v>
      </c>
      <c r="G117" s="4">
        <v>2</v>
      </c>
      <c r="H117" s="2">
        <v>106817</v>
      </c>
      <c r="I117" s="4" t="s">
        <v>2</v>
      </c>
      <c r="J117" s="4" t="s">
        <v>1</v>
      </c>
      <c r="K117" s="5">
        <v>43195</v>
      </c>
      <c r="L117" s="3">
        <f t="shared" ca="1" si="1"/>
        <v>6.1083333333333334</v>
      </c>
    </row>
    <row r="118" spans="1:12" x14ac:dyDescent="0.25">
      <c r="A118" s="4">
        <v>886</v>
      </c>
      <c r="B118" s="4" t="s">
        <v>145</v>
      </c>
      <c r="C118" s="4" t="s">
        <v>457</v>
      </c>
      <c r="D118" s="4" t="s">
        <v>8</v>
      </c>
      <c r="E118" s="4" t="s">
        <v>15</v>
      </c>
      <c r="F118" s="6">
        <v>0.96</v>
      </c>
      <c r="G118" s="4">
        <v>2</v>
      </c>
      <c r="H118" s="2">
        <v>92725</v>
      </c>
      <c r="I118" s="4" t="s">
        <v>2</v>
      </c>
      <c r="J118" s="4" t="s">
        <v>2</v>
      </c>
      <c r="K118" s="5">
        <v>43999</v>
      </c>
      <c r="L118" s="3">
        <f t="shared" ca="1" si="1"/>
        <v>3.9083333333333332</v>
      </c>
    </row>
    <row r="119" spans="1:12" x14ac:dyDescent="0.25">
      <c r="A119" s="4">
        <v>887</v>
      </c>
      <c r="B119" s="4" t="s">
        <v>146</v>
      </c>
      <c r="C119" s="4" t="s">
        <v>461</v>
      </c>
      <c r="D119" s="4" t="s">
        <v>9</v>
      </c>
      <c r="E119" s="4" t="s">
        <v>20</v>
      </c>
      <c r="F119" s="6">
        <v>0.45</v>
      </c>
      <c r="G119" s="4">
        <v>0</v>
      </c>
      <c r="H119" s="2">
        <v>105965</v>
      </c>
      <c r="I119" s="4" t="s">
        <v>2</v>
      </c>
      <c r="J119" s="4" t="s">
        <v>2</v>
      </c>
      <c r="K119" s="5">
        <v>43830</v>
      </c>
      <c r="L119" s="3">
        <f t="shared" ca="1" si="1"/>
        <v>4.3722222222222218</v>
      </c>
    </row>
    <row r="120" spans="1:12" x14ac:dyDescent="0.25">
      <c r="A120" s="4">
        <v>888</v>
      </c>
      <c r="B120" s="4" t="s">
        <v>147</v>
      </c>
      <c r="C120" s="4" t="s">
        <v>450</v>
      </c>
      <c r="D120" s="4" t="s">
        <v>8</v>
      </c>
      <c r="E120" s="4" t="s">
        <v>17</v>
      </c>
      <c r="F120" s="6">
        <v>0.68</v>
      </c>
      <c r="G120" s="4">
        <v>0</v>
      </c>
      <c r="H120" s="2">
        <v>69293</v>
      </c>
      <c r="I120" s="4" t="s">
        <v>2</v>
      </c>
      <c r="J120" s="4" t="s">
        <v>2</v>
      </c>
      <c r="K120" s="5">
        <v>43322</v>
      </c>
      <c r="L120" s="3">
        <f t="shared" ca="1" si="1"/>
        <v>5.7611111111111111</v>
      </c>
    </row>
    <row r="121" spans="1:12" x14ac:dyDescent="0.25">
      <c r="A121" s="4">
        <v>889</v>
      </c>
      <c r="B121" s="4" t="s">
        <v>148</v>
      </c>
      <c r="C121" s="4" t="s">
        <v>483</v>
      </c>
      <c r="D121" s="4" t="s">
        <v>14</v>
      </c>
      <c r="E121" s="4" t="s">
        <v>19</v>
      </c>
      <c r="F121" s="6">
        <v>0</v>
      </c>
      <c r="G121" s="4">
        <v>0</v>
      </c>
      <c r="H121" s="2">
        <v>226184</v>
      </c>
      <c r="I121" s="4" t="s">
        <v>2</v>
      </c>
      <c r="J121" s="4" t="s">
        <v>1</v>
      </c>
      <c r="K121" s="5">
        <v>43319</v>
      </c>
      <c r="L121" s="3">
        <f t="shared" ca="1" si="1"/>
        <v>5.7694444444444448</v>
      </c>
    </row>
    <row r="122" spans="1:12" x14ac:dyDescent="0.25">
      <c r="A122" s="4">
        <v>890</v>
      </c>
      <c r="B122" s="4" t="s">
        <v>149</v>
      </c>
      <c r="C122" s="4" t="s">
        <v>440</v>
      </c>
      <c r="D122" s="4" t="s">
        <v>9</v>
      </c>
      <c r="E122" s="4" t="s">
        <v>3</v>
      </c>
      <c r="F122" s="6">
        <v>0.74</v>
      </c>
      <c r="G122" s="4">
        <v>3</v>
      </c>
      <c r="H122" s="2">
        <v>113429</v>
      </c>
      <c r="I122" s="4" t="s">
        <v>2</v>
      </c>
      <c r="J122" s="4" t="s">
        <v>2</v>
      </c>
      <c r="K122" s="5">
        <v>43960</v>
      </c>
      <c r="L122" s="3">
        <f t="shared" ca="1" si="1"/>
        <v>4.0138888888888893</v>
      </c>
    </row>
    <row r="123" spans="1:12" x14ac:dyDescent="0.25">
      <c r="A123" s="4">
        <v>891</v>
      </c>
      <c r="B123" s="4" t="s">
        <v>150</v>
      </c>
      <c r="C123" s="4" t="s">
        <v>452</v>
      </c>
      <c r="D123" s="4" t="s">
        <v>4</v>
      </c>
      <c r="E123" s="4" t="s">
        <v>19</v>
      </c>
      <c r="F123" s="6">
        <v>0</v>
      </c>
      <c r="G123" s="4">
        <v>1</v>
      </c>
      <c r="H123" s="2">
        <v>197945</v>
      </c>
      <c r="I123" s="4" t="s">
        <v>2</v>
      </c>
      <c r="J123" s="4" t="s">
        <v>2</v>
      </c>
      <c r="K123" s="5">
        <v>42867</v>
      </c>
      <c r="L123" s="3">
        <f t="shared" ca="1" si="1"/>
        <v>7.0055555555555555</v>
      </c>
    </row>
    <row r="124" spans="1:12" x14ac:dyDescent="0.25">
      <c r="A124" s="4">
        <v>892</v>
      </c>
      <c r="B124" s="4" t="s">
        <v>151</v>
      </c>
      <c r="C124" s="4" t="s">
        <v>476</v>
      </c>
      <c r="D124" s="4" t="s">
        <v>9</v>
      </c>
      <c r="E124" s="4" t="s">
        <v>3</v>
      </c>
      <c r="F124" s="6">
        <v>0.91</v>
      </c>
      <c r="G124" s="4">
        <v>1</v>
      </c>
      <c r="H124" s="2">
        <v>103840</v>
      </c>
      <c r="I124" s="4" t="s">
        <v>2</v>
      </c>
      <c r="J124" s="4" t="s">
        <v>1</v>
      </c>
      <c r="K124" s="5">
        <v>44105</v>
      </c>
      <c r="L124" s="3">
        <f t="shared" ca="1" si="1"/>
        <v>3.6194444444444445</v>
      </c>
    </row>
    <row r="125" spans="1:12" x14ac:dyDescent="0.25">
      <c r="A125" s="4">
        <v>893</v>
      </c>
      <c r="B125" s="4" t="s">
        <v>152</v>
      </c>
      <c r="C125" s="4" t="s">
        <v>470</v>
      </c>
      <c r="D125" s="4" t="s">
        <v>9</v>
      </c>
      <c r="E125" s="4" t="s">
        <v>15</v>
      </c>
      <c r="F125" s="6">
        <v>0.42</v>
      </c>
      <c r="G125" s="4">
        <v>1</v>
      </c>
      <c r="H125" s="2">
        <v>132391</v>
      </c>
      <c r="I125" s="4" t="s">
        <v>2</v>
      </c>
      <c r="J125" s="4" t="s">
        <v>2</v>
      </c>
      <c r="K125" s="5">
        <v>43613</v>
      </c>
      <c r="L125" s="3">
        <f t="shared" ca="1" si="1"/>
        <v>4.9611111111111112</v>
      </c>
    </row>
    <row r="126" spans="1:12" x14ac:dyDescent="0.25">
      <c r="A126" s="4">
        <v>894</v>
      </c>
      <c r="B126" s="4" t="s">
        <v>153</v>
      </c>
      <c r="C126" s="4" t="s">
        <v>453</v>
      </c>
      <c r="D126" s="4" t="s">
        <v>14</v>
      </c>
      <c r="E126" s="4" t="s">
        <v>20</v>
      </c>
      <c r="F126" s="6">
        <v>0.55000000000000004</v>
      </c>
      <c r="G126" s="4">
        <v>1</v>
      </c>
      <c r="H126" s="2">
        <v>226244</v>
      </c>
      <c r="I126" s="4" t="s">
        <v>2</v>
      </c>
      <c r="J126" s="4" t="s">
        <v>1</v>
      </c>
      <c r="K126" s="5">
        <v>43925</v>
      </c>
      <c r="L126" s="3">
        <f t="shared" ca="1" si="1"/>
        <v>4.1111111111111107</v>
      </c>
    </row>
    <row r="127" spans="1:12" x14ac:dyDescent="0.25">
      <c r="A127" s="4">
        <v>895</v>
      </c>
      <c r="B127" s="4" t="s">
        <v>154</v>
      </c>
      <c r="C127" s="4" t="s">
        <v>449</v>
      </c>
      <c r="D127" s="4" t="s">
        <v>4</v>
      </c>
      <c r="E127" s="4" t="s">
        <v>16</v>
      </c>
      <c r="F127" s="6">
        <v>0.52</v>
      </c>
      <c r="G127" s="4">
        <v>2</v>
      </c>
      <c r="H127" s="2">
        <v>190913</v>
      </c>
      <c r="I127" s="4" t="s">
        <v>2</v>
      </c>
      <c r="J127" s="4" t="s">
        <v>1</v>
      </c>
      <c r="K127" s="5">
        <v>43483</v>
      </c>
      <c r="L127" s="3">
        <f t="shared" ca="1" si="1"/>
        <v>5.322222222222222</v>
      </c>
    </row>
    <row r="128" spans="1:12" x14ac:dyDescent="0.25">
      <c r="A128" s="4">
        <v>896</v>
      </c>
      <c r="B128" s="4" t="s">
        <v>155</v>
      </c>
      <c r="C128" s="4" t="s">
        <v>484</v>
      </c>
      <c r="D128" s="4" t="s">
        <v>4</v>
      </c>
      <c r="E128" s="4" t="s">
        <v>16</v>
      </c>
      <c r="F128" s="6">
        <v>0.18</v>
      </c>
      <c r="G128" s="4">
        <v>2</v>
      </c>
      <c r="H128" s="2">
        <v>205075</v>
      </c>
      <c r="I128" s="4" t="s">
        <v>2</v>
      </c>
      <c r="J128" s="4" t="s">
        <v>2</v>
      </c>
      <c r="K128" s="5">
        <v>43907</v>
      </c>
      <c r="L128" s="3">
        <f t="shared" ca="1" si="1"/>
        <v>4.1583333333333332</v>
      </c>
    </row>
    <row r="129" spans="1:12" x14ac:dyDescent="0.25">
      <c r="A129" s="4">
        <v>897</v>
      </c>
      <c r="B129" s="4" t="s">
        <v>156</v>
      </c>
      <c r="C129" s="4" t="s">
        <v>455</v>
      </c>
      <c r="D129" s="4" t="s">
        <v>4</v>
      </c>
      <c r="E129" s="4" t="s">
        <v>17</v>
      </c>
      <c r="F129" s="6">
        <v>0.56000000000000005</v>
      </c>
      <c r="G129" s="4">
        <v>1</v>
      </c>
      <c r="H129" s="2">
        <v>208644</v>
      </c>
      <c r="I129" s="4" t="s">
        <v>2</v>
      </c>
      <c r="J129" s="4" t="s">
        <v>2</v>
      </c>
      <c r="K129" s="5">
        <v>43771</v>
      </c>
      <c r="L129" s="3">
        <f t="shared" ca="1" si="1"/>
        <v>4.5333333333333332</v>
      </c>
    </row>
    <row r="130" spans="1:12" x14ac:dyDescent="0.25">
      <c r="A130" s="4">
        <v>898</v>
      </c>
      <c r="B130" s="4" t="s">
        <v>157</v>
      </c>
      <c r="C130" s="4" t="s">
        <v>462</v>
      </c>
      <c r="D130" s="4" t="s">
        <v>8</v>
      </c>
      <c r="E130" s="4" t="s">
        <v>3</v>
      </c>
      <c r="F130" s="6">
        <v>0.77</v>
      </c>
      <c r="G130" s="4">
        <v>0</v>
      </c>
      <c r="H130" s="2">
        <v>63580</v>
      </c>
      <c r="I130" s="4" t="s">
        <v>2</v>
      </c>
      <c r="J130" s="4" t="s">
        <v>1</v>
      </c>
      <c r="K130" s="5">
        <v>43990</v>
      </c>
      <c r="L130" s="3">
        <f t="shared" ca="1" si="1"/>
        <v>3.9333333333333331</v>
      </c>
    </row>
    <row r="131" spans="1:12" x14ac:dyDescent="0.25">
      <c r="A131" s="4">
        <v>899</v>
      </c>
      <c r="B131" s="4" t="s">
        <v>158</v>
      </c>
      <c r="C131" s="4" t="s">
        <v>436</v>
      </c>
      <c r="D131" s="4" t="s">
        <v>9</v>
      </c>
      <c r="E131" s="4" t="s">
        <v>20</v>
      </c>
      <c r="F131" s="6">
        <v>0.5</v>
      </c>
      <c r="G131" s="4">
        <v>1</v>
      </c>
      <c r="H131" s="2">
        <v>125172</v>
      </c>
      <c r="I131" s="4" t="s">
        <v>2</v>
      </c>
      <c r="J131" s="4" t="s">
        <v>1</v>
      </c>
      <c r="K131" s="5">
        <v>43189</v>
      </c>
      <c r="L131" s="3">
        <f t="shared" ref="L131:L194" ca="1" si="2">YEARFRAC(K131,TODAY())</f>
        <v>6.1222222222222218</v>
      </c>
    </row>
    <row r="132" spans="1:12" x14ac:dyDescent="0.25">
      <c r="A132" s="4">
        <v>900</v>
      </c>
      <c r="B132" s="4" t="s">
        <v>159</v>
      </c>
      <c r="C132" s="4" t="s">
        <v>456</v>
      </c>
      <c r="D132" s="4" t="s">
        <v>14</v>
      </c>
      <c r="E132" s="4" t="s">
        <v>21</v>
      </c>
      <c r="F132" s="6">
        <v>0.45</v>
      </c>
      <c r="G132" s="4">
        <v>3</v>
      </c>
      <c r="H132" s="2">
        <v>240838</v>
      </c>
      <c r="I132" s="4" t="s">
        <v>2</v>
      </c>
      <c r="J132" s="4" t="s">
        <v>1</v>
      </c>
      <c r="K132" s="5">
        <v>42922</v>
      </c>
      <c r="L132" s="3">
        <f t="shared" ca="1" si="2"/>
        <v>6.8555555555555552</v>
      </c>
    </row>
    <row r="133" spans="1:12" x14ac:dyDescent="0.25">
      <c r="A133" s="4">
        <v>901</v>
      </c>
      <c r="B133" s="4" t="s">
        <v>160</v>
      </c>
      <c r="C133" s="4" t="s">
        <v>448</v>
      </c>
      <c r="D133" s="4" t="s">
        <v>10</v>
      </c>
      <c r="E133" s="4" t="s">
        <v>16</v>
      </c>
      <c r="F133" s="6">
        <v>0.55000000000000004</v>
      </c>
      <c r="G133" s="4">
        <v>1</v>
      </c>
      <c r="H133" s="2">
        <v>250125</v>
      </c>
      <c r="I133" s="4" t="s">
        <v>2</v>
      </c>
      <c r="J133" s="4" t="s">
        <v>1</v>
      </c>
      <c r="K133" s="5">
        <v>43310</v>
      </c>
      <c r="L133" s="3">
        <f t="shared" ca="1" si="2"/>
        <v>5.791666666666667</v>
      </c>
    </row>
    <row r="134" spans="1:12" x14ac:dyDescent="0.25">
      <c r="A134" s="4">
        <v>903</v>
      </c>
      <c r="B134" s="4" t="s">
        <v>161</v>
      </c>
      <c r="C134" s="4" t="s">
        <v>469</v>
      </c>
      <c r="D134" s="4" t="s">
        <v>10</v>
      </c>
      <c r="E134" s="4" t="s">
        <v>3</v>
      </c>
      <c r="F134" s="6">
        <v>0.99</v>
      </c>
      <c r="G134" s="4">
        <v>3</v>
      </c>
      <c r="H134" s="2">
        <v>272572</v>
      </c>
      <c r="I134" s="4" t="s">
        <v>2</v>
      </c>
      <c r="J134" s="4" t="s">
        <v>1</v>
      </c>
      <c r="K134" s="5">
        <v>43184</v>
      </c>
      <c r="L134" s="3">
        <f t="shared" ca="1" si="2"/>
        <v>6.1361111111111111</v>
      </c>
    </row>
    <row r="135" spans="1:12" x14ac:dyDescent="0.25">
      <c r="A135" s="4">
        <v>904</v>
      </c>
      <c r="B135" s="4" t="s">
        <v>162</v>
      </c>
      <c r="C135" s="4" t="s">
        <v>471</v>
      </c>
      <c r="D135" s="4" t="s">
        <v>8</v>
      </c>
      <c r="E135" s="4" t="s">
        <v>15</v>
      </c>
      <c r="F135" s="6">
        <v>0.62</v>
      </c>
      <c r="G135" s="4">
        <v>3</v>
      </c>
      <c r="H135" s="2">
        <v>91164</v>
      </c>
      <c r="I135" s="4" t="s">
        <v>2</v>
      </c>
      <c r="J135" s="4" t="s">
        <v>2</v>
      </c>
      <c r="K135" s="5">
        <v>42922</v>
      </c>
      <c r="L135" s="3">
        <f t="shared" ca="1" si="2"/>
        <v>6.8555555555555552</v>
      </c>
    </row>
    <row r="136" spans="1:12" x14ac:dyDescent="0.25">
      <c r="A136" s="4">
        <v>905</v>
      </c>
      <c r="B136" s="4" t="s">
        <v>163</v>
      </c>
      <c r="C136" s="4" t="s">
        <v>465</v>
      </c>
      <c r="D136" s="4" t="s">
        <v>8</v>
      </c>
      <c r="E136" s="4" t="s">
        <v>17</v>
      </c>
      <c r="F136" s="6">
        <v>0.98</v>
      </c>
      <c r="G136" s="4">
        <v>1</v>
      </c>
      <c r="H136" s="2">
        <v>73296</v>
      </c>
      <c r="I136" s="4" t="s">
        <v>2</v>
      </c>
      <c r="J136" s="4" t="s">
        <v>1</v>
      </c>
      <c r="K136" s="5">
        <v>43534</v>
      </c>
      <c r="L136" s="3">
        <f t="shared" ca="1" si="2"/>
        <v>5.177777777777778</v>
      </c>
    </row>
    <row r="137" spans="1:12" x14ac:dyDescent="0.25">
      <c r="A137" s="4">
        <v>906</v>
      </c>
      <c r="B137" s="4" t="s">
        <v>164</v>
      </c>
      <c r="C137" s="4" t="s">
        <v>444</v>
      </c>
      <c r="D137" s="4" t="s">
        <v>10</v>
      </c>
      <c r="E137" s="4" t="s">
        <v>3</v>
      </c>
      <c r="F137" s="6">
        <v>0.79</v>
      </c>
      <c r="G137" s="4">
        <v>2</v>
      </c>
      <c r="H137" s="2">
        <v>266481</v>
      </c>
      <c r="I137" s="4" t="s">
        <v>1</v>
      </c>
      <c r="J137" s="4" t="s">
        <v>2</v>
      </c>
      <c r="K137" s="5">
        <v>43015</v>
      </c>
      <c r="L137" s="3">
        <f t="shared" ca="1" si="2"/>
        <v>6.6027777777777779</v>
      </c>
    </row>
    <row r="138" spans="1:12" x14ac:dyDescent="0.25">
      <c r="A138" s="4">
        <v>907</v>
      </c>
      <c r="B138" s="4" t="s">
        <v>165</v>
      </c>
      <c r="C138" s="4" t="s">
        <v>442</v>
      </c>
      <c r="D138" s="4" t="s">
        <v>9</v>
      </c>
      <c r="E138" s="4" t="s">
        <v>15</v>
      </c>
      <c r="F138" s="6">
        <v>0.45</v>
      </c>
      <c r="G138" s="4">
        <v>0</v>
      </c>
      <c r="H138" s="2">
        <v>145263</v>
      </c>
      <c r="I138" s="4" t="s">
        <v>2</v>
      </c>
      <c r="J138" s="4" t="s">
        <v>2</v>
      </c>
      <c r="K138" s="5">
        <v>43405</v>
      </c>
      <c r="L138" s="3">
        <f t="shared" ca="1" si="2"/>
        <v>5.5361111111111114</v>
      </c>
    </row>
    <row r="139" spans="1:12" x14ac:dyDescent="0.25">
      <c r="A139" s="4">
        <v>908</v>
      </c>
      <c r="B139" s="4" t="s">
        <v>166</v>
      </c>
      <c r="C139" s="4" t="s">
        <v>441</v>
      </c>
      <c r="D139" s="4" t="s">
        <v>9</v>
      </c>
      <c r="E139" s="4" t="s">
        <v>16</v>
      </c>
      <c r="F139" s="6">
        <v>0.77</v>
      </c>
      <c r="G139" s="4">
        <v>2</v>
      </c>
      <c r="H139" s="2">
        <v>135594</v>
      </c>
      <c r="I139" s="4" t="s">
        <v>2</v>
      </c>
      <c r="J139" s="4" t="s">
        <v>2</v>
      </c>
      <c r="K139" s="5">
        <v>43374</v>
      </c>
      <c r="L139" s="3">
        <f t="shared" ca="1" si="2"/>
        <v>5.6194444444444445</v>
      </c>
    </row>
    <row r="140" spans="1:12" x14ac:dyDescent="0.25">
      <c r="A140" s="4">
        <v>909</v>
      </c>
      <c r="B140" s="4" t="s">
        <v>167</v>
      </c>
      <c r="C140" s="4" t="s">
        <v>481</v>
      </c>
      <c r="D140" s="4" t="s">
        <v>4</v>
      </c>
      <c r="E140" s="4" t="s">
        <v>16</v>
      </c>
      <c r="F140" s="6">
        <v>0.37</v>
      </c>
      <c r="G140" s="4">
        <v>1</v>
      </c>
      <c r="H140" s="2">
        <v>182057</v>
      </c>
      <c r="I140" s="4" t="s">
        <v>2</v>
      </c>
      <c r="J140" s="4" t="s">
        <v>1</v>
      </c>
      <c r="K140" s="5">
        <v>43616</v>
      </c>
      <c r="L140" s="3">
        <f t="shared" ca="1" si="2"/>
        <v>4.9555555555555557</v>
      </c>
    </row>
    <row r="141" spans="1:12" x14ac:dyDescent="0.25">
      <c r="A141" s="4">
        <v>910</v>
      </c>
      <c r="B141" s="4" t="s">
        <v>168</v>
      </c>
      <c r="C141" s="4" t="s">
        <v>485</v>
      </c>
      <c r="D141" s="4" t="s">
        <v>4</v>
      </c>
      <c r="E141" s="4" t="s">
        <v>19</v>
      </c>
      <c r="F141" s="6">
        <v>0</v>
      </c>
      <c r="G141" s="4">
        <v>1</v>
      </c>
      <c r="H141" s="2">
        <v>203316</v>
      </c>
      <c r="I141" s="4" t="s">
        <v>2</v>
      </c>
      <c r="J141" s="4" t="s">
        <v>2</v>
      </c>
      <c r="K141" s="5">
        <v>43666</v>
      </c>
      <c r="L141" s="3">
        <f t="shared" ca="1" si="2"/>
        <v>4.8166666666666664</v>
      </c>
    </row>
    <row r="142" spans="1:12" x14ac:dyDescent="0.25">
      <c r="A142" s="4">
        <v>911</v>
      </c>
      <c r="B142" s="4" t="s">
        <v>169</v>
      </c>
      <c r="C142" s="4" t="s">
        <v>477</v>
      </c>
      <c r="D142" s="4" t="s">
        <v>8</v>
      </c>
      <c r="E142" s="4" t="s">
        <v>18</v>
      </c>
      <c r="F142" s="6">
        <v>0.33</v>
      </c>
      <c r="G142" s="4">
        <v>3</v>
      </c>
      <c r="H142" s="2">
        <v>61486</v>
      </c>
      <c r="I142" s="4" t="s">
        <v>2</v>
      </c>
      <c r="J142" s="4" t="s">
        <v>1</v>
      </c>
      <c r="K142" s="5">
        <v>42972</v>
      </c>
      <c r="L142" s="3">
        <f t="shared" ca="1" si="2"/>
        <v>6.7194444444444441</v>
      </c>
    </row>
    <row r="143" spans="1:12" x14ac:dyDescent="0.25">
      <c r="A143" s="4">
        <v>912</v>
      </c>
      <c r="B143" s="4" t="s">
        <v>170</v>
      </c>
      <c r="C143" s="4" t="s">
        <v>472</v>
      </c>
      <c r="D143" s="4" t="s">
        <v>14</v>
      </c>
      <c r="E143" s="4" t="s">
        <v>21</v>
      </c>
      <c r="F143" s="6">
        <v>0.5</v>
      </c>
      <c r="G143" s="4">
        <v>4</v>
      </c>
      <c r="H143" s="2">
        <v>226160</v>
      </c>
      <c r="I143" s="4" t="s">
        <v>2</v>
      </c>
      <c r="J143" s="4" t="s">
        <v>1</v>
      </c>
      <c r="K143" s="5">
        <v>43995</v>
      </c>
      <c r="L143" s="3">
        <f t="shared" ca="1" si="2"/>
        <v>3.9194444444444443</v>
      </c>
    </row>
    <row r="144" spans="1:12" x14ac:dyDescent="0.25">
      <c r="A144" s="4">
        <v>913</v>
      </c>
      <c r="B144" s="4" t="s">
        <v>171</v>
      </c>
      <c r="C144" s="4" t="s">
        <v>473</v>
      </c>
      <c r="D144" s="4" t="s">
        <v>8</v>
      </c>
      <c r="E144" s="4" t="s">
        <v>17</v>
      </c>
      <c r="F144" s="6">
        <v>0.51</v>
      </c>
      <c r="G144" s="4">
        <v>1</v>
      </c>
      <c r="H144" s="2">
        <v>74382</v>
      </c>
      <c r="I144" s="4" t="s">
        <v>2</v>
      </c>
      <c r="J144" s="4" t="s">
        <v>1</v>
      </c>
      <c r="K144" s="5">
        <v>43288</v>
      </c>
      <c r="L144" s="3">
        <f t="shared" ca="1" si="2"/>
        <v>5.8527777777777779</v>
      </c>
    </row>
    <row r="145" spans="1:12" x14ac:dyDescent="0.25">
      <c r="A145" s="4">
        <v>914</v>
      </c>
      <c r="B145" s="4" t="s">
        <v>172</v>
      </c>
      <c r="C145" s="4" t="s">
        <v>479</v>
      </c>
      <c r="D145" s="4" t="s">
        <v>10</v>
      </c>
      <c r="E145" s="4" t="s">
        <v>19</v>
      </c>
      <c r="F145" s="6">
        <v>0</v>
      </c>
      <c r="G145" s="4">
        <v>2</v>
      </c>
      <c r="H145" s="2">
        <v>261357</v>
      </c>
      <c r="I145" s="4" t="s">
        <v>2</v>
      </c>
      <c r="J145" s="4" t="s">
        <v>1</v>
      </c>
      <c r="K145" s="5">
        <v>43116</v>
      </c>
      <c r="L145" s="3">
        <f t="shared" ca="1" si="2"/>
        <v>6.3277777777777775</v>
      </c>
    </row>
    <row r="146" spans="1:12" x14ac:dyDescent="0.25">
      <c r="A146" s="4">
        <v>915</v>
      </c>
      <c r="B146" s="4" t="s">
        <v>173</v>
      </c>
      <c r="C146" s="4" t="s">
        <v>447</v>
      </c>
      <c r="D146" s="4" t="s">
        <v>9</v>
      </c>
      <c r="E146" s="4" t="s">
        <v>18</v>
      </c>
      <c r="F146" s="6">
        <v>0.6</v>
      </c>
      <c r="G146" s="4">
        <v>0</v>
      </c>
      <c r="H146" s="2">
        <v>102560</v>
      </c>
      <c r="I146" s="4" t="s">
        <v>2</v>
      </c>
      <c r="J146" s="4" t="s">
        <v>2</v>
      </c>
      <c r="K146" s="5">
        <v>43097</v>
      </c>
      <c r="L146" s="3">
        <f t="shared" ca="1" si="2"/>
        <v>6.3777777777777782</v>
      </c>
    </row>
    <row r="147" spans="1:12" x14ac:dyDescent="0.25">
      <c r="A147" s="4">
        <v>917</v>
      </c>
      <c r="B147" s="4" t="s">
        <v>174</v>
      </c>
      <c r="C147" s="4" t="s">
        <v>480</v>
      </c>
      <c r="D147" s="4" t="s">
        <v>4</v>
      </c>
      <c r="E147" s="4" t="s">
        <v>20</v>
      </c>
      <c r="F147" s="6">
        <v>0.64</v>
      </c>
      <c r="G147" s="4">
        <v>2</v>
      </c>
      <c r="H147" s="2">
        <v>189293</v>
      </c>
      <c r="I147" s="4" t="s">
        <v>2</v>
      </c>
      <c r="J147" s="4" t="s">
        <v>2</v>
      </c>
      <c r="K147" s="5">
        <v>43765</v>
      </c>
      <c r="L147" s="3">
        <f t="shared" ca="1" si="2"/>
        <v>4.5472222222222225</v>
      </c>
    </row>
    <row r="148" spans="1:12" x14ac:dyDescent="0.25">
      <c r="A148" s="4">
        <v>918</v>
      </c>
      <c r="B148" s="4" t="s">
        <v>175</v>
      </c>
      <c r="C148" s="4" t="s">
        <v>454</v>
      </c>
      <c r="D148" s="4" t="s">
        <v>14</v>
      </c>
      <c r="E148" s="4" t="s">
        <v>16</v>
      </c>
      <c r="F148" s="6">
        <v>0.59</v>
      </c>
      <c r="G148" s="4">
        <v>0</v>
      </c>
      <c r="H148" s="2">
        <v>236750</v>
      </c>
      <c r="I148" s="4" t="s">
        <v>2</v>
      </c>
      <c r="J148" s="4" t="s">
        <v>1</v>
      </c>
      <c r="K148" s="5">
        <v>43379</v>
      </c>
      <c r="L148" s="3">
        <f t="shared" ca="1" si="2"/>
        <v>5.6055555555555552</v>
      </c>
    </row>
    <row r="149" spans="1:12" x14ac:dyDescent="0.25">
      <c r="A149" s="4">
        <v>919</v>
      </c>
      <c r="B149" s="4" t="s">
        <v>176</v>
      </c>
      <c r="C149" s="4" t="s">
        <v>459</v>
      </c>
      <c r="D149" s="4" t="s">
        <v>4</v>
      </c>
      <c r="E149" s="4" t="s">
        <v>19</v>
      </c>
      <c r="F149" s="6">
        <v>0</v>
      </c>
      <c r="G149" s="4">
        <v>2</v>
      </c>
      <c r="H149" s="2">
        <v>201188</v>
      </c>
      <c r="I149" s="4" t="s">
        <v>2</v>
      </c>
      <c r="J149" s="4" t="s">
        <v>1</v>
      </c>
      <c r="K149" s="5">
        <v>43701</v>
      </c>
      <c r="L149" s="3">
        <f t="shared" ca="1" si="2"/>
        <v>4.7222222222222223</v>
      </c>
    </row>
    <row r="150" spans="1:12" x14ac:dyDescent="0.25">
      <c r="A150" s="4">
        <v>920</v>
      </c>
      <c r="B150" s="4" t="s">
        <v>177</v>
      </c>
      <c r="C150" s="4" t="s">
        <v>467</v>
      </c>
      <c r="D150" s="4" t="s">
        <v>8</v>
      </c>
      <c r="E150" s="4" t="s">
        <v>15</v>
      </c>
      <c r="F150" s="6">
        <v>0.69</v>
      </c>
      <c r="G150" s="4">
        <v>1</v>
      </c>
      <c r="H150" s="2">
        <v>81729</v>
      </c>
      <c r="I150" s="4" t="s">
        <v>2</v>
      </c>
      <c r="J150" s="4" t="s">
        <v>2</v>
      </c>
      <c r="K150" s="5">
        <v>43074</v>
      </c>
      <c r="L150" s="3">
        <f t="shared" ca="1" si="2"/>
        <v>6.4416666666666664</v>
      </c>
    </row>
    <row r="151" spans="1:12" x14ac:dyDescent="0.25">
      <c r="A151" s="4">
        <v>921</v>
      </c>
      <c r="B151" s="4" t="s">
        <v>178</v>
      </c>
      <c r="C151" s="4" t="s">
        <v>458</v>
      </c>
      <c r="D151" s="4" t="s">
        <v>9</v>
      </c>
      <c r="E151" s="4" t="s">
        <v>17</v>
      </c>
      <c r="F151" s="6">
        <v>0.79</v>
      </c>
      <c r="G151" s="4">
        <v>5</v>
      </c>
      <c r="H151" s="2">
        <v>145739</v>
      </c>
      <c r="I151" s="4" t="s">
        <v>2</v>
      </c>
      <c r="J151" s="4" t="s">
        <v>1</v>
      </c>
      <c r="K151" s="5">
        <v>43145</v>
      </c>
      <c r="L151" s="3">
        <f t="shared" ca="1" si="2"/>
        <v>6.25</v>
      </c>
    </row>
    <row r="152" spans="1:12" x14ac:dyDescent="0.25">
      <c r="A152" s="4">
        <v>922</v>
      </c>
      <c r="B152" s="4" t="s">
        <v>179</v>
      </c>
      <c r="C152" s="4" t="s">
        <v>476</v>
      </c>
      <c r="D152" s="4" t="s">
        <v>9</v>
      </c>
      <c r="E152" s="4" t="s">
        <v>18</v>
      </c>
      <c r="F152" s="6">
        <v>0.25</v>
      </c>
      <c r="G152" s="4">
        <v>3</v>
      </c>
      <c r="H152" s="2">
        <v>108569</v>
      </c>
      <c r="I152" s="4" t="s">
        <v>2</v>
      </c>
      <c r="J152" s="4" t="s">
        <v>2</v>
      </c>
      <c r="K152" s="5">
        <v>42912</v>
      </c>
      <c r="L152" s="3">
        <f t="shared" ca="1" si="2"/>
        <v>6.8833333333333337</v>
      </c>
    </row>
    <row r="153" spans="1:12" x14ac:dyDescent="0.25">
      <c r="A153" s="4">
        <v>923</v>
      </c>
      <c r="B153" s="4" t="s">
        <v>180</v>
      </c>
      <c r="C153" s="4" t="s">
        <v>449</v>
      </c>
      <c r="D153" s="4" t="s">
        <v>10</v>
      </c>
      <c r="E153" s="4" t="s">
        <v>15</v>
      </c>
      <c r="F153" s="6">
        <v>0.77</v>
      </c>
      <c r="G153" s="4">
        <v>2</v>
      </c>
      <c r="H153" s="2">
        <v>271691</v>
      </c>
      <c r="I153" s="4" t="s">
        <v>2</v>
      </c>
      <c r="J153" s="4" t="s">
        <v>1</v>
      </c>
      <c r="K153" s="5">
        <v>44058</v>
      </c>
      <c r="L153" s="3">
        <f t="shared" ca="1" si="2"/>
        <v>3.7472222222222222</v>
      </c>
    </row>
    <row r="154" spans="1:12" x14ac:dyDescent="0.25">
      <c r="A154" s="4">
        <v>924</v>
      </c>
      <c r="B154" s="4" t="s">
        <v>181</v>
      </c>
      <c r="C154" s="4" t="s">
        <v>466</v>
      </c>
      <c r="D154" s="4" t="s">
        <v>14</v>
      </c>
      <c r="E154" s="4" t="s">
        <v>3</v>
      </c>
      <c r="F154" s="6">
        <v>0.99</v>
      </c>
      <c r="G154" s="4">
        <v>2</v>
      </c>
      <c r="H154" s="2">
        <v>230202</v>
      </c>
      <c r="I154" s="4" t="s">
        <v>2</v>
      </c>
      <c r="J154" s="4" t="s">
        <v>1</v>
      </c>
      <c r="K154" s="5">
        <v>44164</v>
      </c>
      <c r="L154" s="3">
        <f t="shared" ca="1" si="2"/>
        <v>3.4583333333333335</v>
      </c>
    </row>
    <row r="155" spans="1:12" x14ac:dyDescent="0.25">
      <c r="A155" s="4">
        <v>925</v>
      </c>
      <c r="B155" s="4" t="s">
        <v>182</v>
      </c>
      <c r="C155" s="4" t="s">
        <v>462</v>
      </c>
      <c r="D155" s="4" t="s">
        <v>14</v>
      </c>
      <c r="E155" s="4" t="s">
        <v>19</v>
      </c>
      <c r="F155" s="6">
        <v>0</v>
      </c>
      <c r="G155" s="4">
        <v>2</v>
      </c>
      <c r="H155" s="2">
        <v>237225</v>
      </c>
      <c r="I155" s="4" t="s">
        <v>2</v>
      </c>
      <c r="J155" s="4" t="s">
        <v>2</v>
      </c>
      <c r="K155" s="5">
        <v>43880</v>
      </c>
      <c r="L155" s="3">
        <f t="shared" ca="1" si="2"/>
        <v>4.2361111111111107</v>
      </c>
    </row>
    <row r="156" spans="1:12" x14ac:dyDescent="0.25">
      <c r="A156" s="4">
        <v>926</v>
      </c>
      <c r="B156" s="4" t="s">
        <v>183</v>
      </c>
      <c r="C156" s="4" t="s">
        <v>464</v>
      </c>
      <c r="D156" s="4" t="s">
        <v>8</v>
      </c>
      <c r="E156" s="4" t="s">
        <v>15</v>
      </c>
      <c r="F156" s="6">
        <v>0.92</v>
      </c>
      <c r="G156" s="4">
        <v>0</v>
      </c>
      <c r="H156" s="2">
        <v>81278</v>
      </c>
      <c r="I156" s="4" t="s">
        <v>2</v>
      </c>
      <c r="J156" s="4" t="s">
        <v>1</v>
      </c>
      <c r="K156" s="5">
        <v>42928</v>
      </c>
      <c r="L156" s="3">
        <f t="shared" ca="1" si="2"/>
        <v>6.8388888888888886</v>
      </c>
    </row>
    <row r="157" spans="1:12" x14ac:dyDescent="0.25">
      <c r="A157" s="4">
        <v>927</v>
      </c>
      <c r="B157" s="4" t="s">
        <v>184</v>
      </c>
      <c r="C157" s="4" t="s">
        <v>457</v>
      </c>
      <c r="D157" s="4" t="s">
        <v>10</v>
      </c>
      <c r="E157" s="4" t="s">
        <v>3</v>
      </c>
      <c r="F157" s="6">
        <v>0.87</v>
      </c>
      <c r="G157" s="4">
        <v>4</v>
      </c>
      <c r="H157" s="2">
        <v>271323</v>
      </c>
      <c r="I157" s="4" t="s">
        <v>2</v>
      </c>
      <c r="J157" s="4" t="s">
        <v>1</v>
      </c>
      <c r="K157" s="5">
        <v>43068</v>
      </c>
      <c r="L157" s="3">
        <f t="shared" ca="1" si="2"/>
        <v>6.458333333333333</v>
      </c>
    </row>
    <row r="158" spans="1:12" x14ac:dyDescent="0.25">
      <c r="A158" s="4">
        <v>929</v>
      </c>
      <c r="B158" s="4" t="s">
        <v>185</v>
      </c>
      <c r="C158" s="4" t="s">
        <v>478</v>
      </c>
      <c r="D158" s="4" t="s">
        <v>9</v>
      </c>
      <c r="E158" s="4" t="s">
        <v>16</v>
      </c>
      <c r="F158" s="6">
        <v>0.45</v>
      </c>
      <c r="G158" s="4">
        <v>2</v>
      </c>
      <c r="H158" s="2">
        <v>131823</v>
      </c>
      <c r="I158" s="4" t="s">
        <v>2</v>
      </c>
      <c r="J158" s="4" t="s">
        <v>1</v>
      </c>
      <c r="K158" s="5">
        <v>43167</v>
      </c>
      <c r="L158" s="3">
        <f t="shared" ca="1" si="2"/>
        <v>6.1833333333333336</v>
      </c>
    </row>
    <row r="159" spans="1:12" x14ac:dyDescent="0.25">
      <c r="A159" s="4">
        <v>930</v>
      </c>
      <c r="B159" s="4" t="s">
        <v>186</v>
      </c>
      <c r="C159" s="4" t="s">
        <v>445</v>
      </c>
      <c r="D159" s="4" t="s">
        <v>4</v>
      </c>
      <c r="E159" s="4" t="s">
        <v>21</v>
      </c>
      <c r="F159" s="6">
        <v>0.38</v>
      </c>
      <c r="G159" s="4">
        <v>0</v>
      </c>
      <c r="H159" s="2">
        <v>197384</v>
      </c>
      <c r="I159" s="4" t="s">
        <v>2</v>
      </c>
      <c r="J159" s="4" t="s">
        <v>2</v>
      </c>
      <c r="K159" s="5">
        <v>43368</v>
      </c>
      <c r="L159" s="3">
        <f t="shared" ca="1" si="2"/>
        <v>5.6361111111111111</v>
      </c>
    </row>
    <row r="160" spans="1:12" x14ac:dyDescent="0.25">
      <c r="A160" s="4">
        <v>931</v>
      </c>
      <c r="B160" s="4" t="s">
        <v>187</v>
      </c>
      <c r="C160" s="4" t="s">
        <v>484</v>
      </c>
      <c r="D160" s="4" t="s">
        <v>4</v>
      </c>
      <c r="E160" s="4" t="s">
        <v>19</v>
      </c>
      <c r="F160" s="6">
        <v>0</v>
      </c>
      <c r="G160" s="4">
        <v>1</v>
      </c>
      <c r="H160" s="2">
        <v>199093</v>
      </c>
      <c r="I160" s="4" t="s">
        <v>2</v>
      </c>
      <c r="J160" s="4" t="s">
        <v>2</v>
      </c>
      <c r="K160" s="5">
        <v>42869</v>
      </c>
      <c r="L160" s="3">
        <f t="shared" ca="1" si="2"/>
        <v>7</v>
      </c>
    </row>
    <row r="161" spans="1:12" x14ac:dyDescent="0.25">
      <c r="A161" s="4">
        <v>932</v>
      </c>
      <c r="B161" s="4" t="s">
        <v>188</v>
      </c>
      <c r="C161" s="4" t="s">
        <v>451</v>
      </c>
      <c r="D161" s="4" t="s">
        <v>9</v>
      </c>
      <c r="E161" s="4" t="s">
        <v>20</v>
      </c>
      <c r="F161" s="6">
        <v>0.2</v>
      </c>
      <c r="G161" s="4">
        <v>1</v>
      </c>
      <c r="H161" s="2">
        <v>139526</v>
      </c>
      <c r="I161" s="4" t="s">
        <v>2</v>
      </c>
      <c r="J161" s="4" t="s">
        <v>2</v>
      </c>
      <c r="K161" s="5">
        <v>42943</v>
      </c>
      <c r="L161" s="3">
        <f t="shared" ca="1" si="2"/>
        <v>6.7972222222222225</v>
      </c>
    </row>
    <row r="162" spans="1:12" x14ac:dyDescent="0.25">
      <c r="A162" s="4">
        <v>933</v>
      </c>
      <c r="B162" s="4" t="s">
        <v>189</v>
      </c>
      <c r="C162" s="4" t="s">
        <v>440</v>
      </c>
      <c r="D162" s="4" t="s">
        <v>8</v>
      </c>
      <c r="E162" s="4" t="s">
        <v>19</v>
      </c>
      <c r="F162" s="6">
        <v>0</v>
      </c>
      <c r="G162" s="4">
        <v>0</v>
      </c>
      <c r="H162" s="2">
        <v>95605</v>
      </c>
      <c r="I162" s="4" t="s">
        <v>2</v>
      </c>
      <c r="J162" s="4" t="s">
        <v>1</v>
      </c>
      <c r="K162" s="5">
        <v>44183</v>
      </c>
      <c r="L162" s="3">
        <f t="shared" ca="1" si="2"/>
        <v>3.4055555555555554</v>
      </c>
    </row>
    <row r="163" spans="1:12" x14ac:dyDescent="0.25">
      <c r="A163" s="4">
        <v>934</v>
      </c>
      <c r="B163" s="4" t="s">
        <v>190</v>
      </c>
      <c r="C163" s="4" t="s">
        <v>472</v>
      </c>
      <c r="D163" s="4" t="s">
        <v>8</v>
      </c>
      <c r="E163" s="4" t="s">
        <v>16</v>
      </c>
      <c r="F163" s="6">
        <v>0.14000000000000001</v>
      </c>
      <c r="G163" s="4">
        <v>3</v>
      </c>
      <c r="H163" s="2">
        <v>89907</v>
      </c>
      <c r="I163" s="4" t="s">
        <v>2</v>
      </c>
      <c r="J163" s="4" t="s">
        <v>2</v>
      </c>
      <c r="K163" s="5">
        <v>43729</v>
      </c>
      <c r="L163" s="3">
        <f t="shared" ca="1" si="2"/>
        <v>4.6472222222222221</v>
      </c>
    </row>
    <row r="164" spans="1:12" x14ac:dyDescent="0.25">
      <c r="A164" s="4">
        <v>935</v>
      </c>
      <c r="B164" s="4" t="s">
        <v>191</v>
      </c>
      <c r="C164" s="4" t="s">
        <v>463</v>
      </c>
      <c r="D164" s="4" t="s">
        <v>14</v>
      </c>
      <c r="E164" s="4" t="s">
        <v>3</v>
      </c>
      <c r="F164" s="6">
        <v>0.52</v>
      </c>
      <c r="G164" s="4">
        <v>2</v>
      </c>
      <c r="H164" s="2">
        <v>234380</v>
      </c>
      <c r="I164" s="4" t="s">
        <v>2</v>
      </c>
      <c r="J164" s="4" t="s">
        <v>1</v>
      </c>
      <c r="K164" s="5">
        <v>42856</v>
      </c>
      <c r="L164" s="3">
        <f t="shared" ca="1" si="2"/>
        <v>7.0361111111111114</v>
      </c>
    </row>
    <row r="165" spans="1:12" x14ac:dyDescent="0.25">
      <c r="A165" s="4">
        <v>936</v>
      </c>
      <c r="B165" s="4" t="s">
        <v>192</v>
      </c>
      <c r="C165" s="4" t="s">
        <v>470</v>
      </c>
      <c r="D165" s="4" t="s">
        <v>4</v>
      </c>
      <c r="E165" s="4" t="s">
        <v>18</v>
      </c>
      <c r="F165" s="6">
        <v>0.5</v>
      </c>
      <c r="G165" s="4">
        <v>2</v>
      </c>
      <c r="H165" s="2">
        <v>192029</v>
      </c>
      <c r="I165" s="4" t="s">
        <v>2</v>
      </c>
      <c r="J165" s="4" t="s">
        <v>2</v>
      </c>
      <c r="K165" s="5">
        <v>43058</v>
      </c>
      <c r="L165" s="3">
        <f t="shared" ca="1" si="2"/>
        <v>6.4861111111111107</v>
      </c>
    </row>
    <row r="166" spans="1:12" x14ac:dyDescent="0.25">
      <c r="A166" s="4">
        <v>937</v>
      </c>
      <c r="B166" s="4" t="s">
        <v>193</v>
      </c>
      <c r="C166" s="4" t="s">
        <v>442</v>
      </c>
      <c r="D166" s="4" t="s">
        <v>8</v>
      </c>
      <c r="E166" s="4" t="s">
        <v>19</v>
      </c>
      <c r="F166" s="6">
        <v>0</v>
      </c>
      <c r="G166" s="4">
        <v>3</v>
      </c>
      <c r="H166" s="2">
        <v>87621</v>
      </c>
      <c r="I166" s="4" t="s">
        <v>2</v>
      </c>
      <c r="J166" s="4" t="s">
        <v>1</v>
      </c>
      <c r="K166" s="5">
        <v>42922</v>
      </c>
      <c r="L166" s="3">
        <f t="shared" ca="1" si="2"/>
        <v>6.8555555555555552</v>
      </c>
    </row>
    <row r="167" spans="1:12" x14ac:dyDescent="0.25">
      <c r="A167" s="4">
        <v>938</v>
      </c>
      <c r="B167" s="4" t="s">
        <v>194</v>
      </c>
      <c r="C167" s="4" t="s">
        <v>438</v>
      </c>
      <c r="D167" s="4" t="s">
        <v>14</v>
      </c>
      <c r="E167" s="4" t="s">
        <v>19</v>
      </c>
      <c r="F167" s="6">
        <v>0</v>
      </c>
      <c r="G167" s="4">
        <v>0</v>
      </c>
      <c r="H167" s="2">
        <v>233202</v>
      </c>
      <c r="I167" s="4" t="s">
        <v>2</v>
      </c>
      <c r="J167" s="4" t="s">
        <v>2</v>
      </c>
      <c r="K167" s="5">
        <v>43870</v>
      </c>
      <c r="L167" s="3">
        <f t="shared" ca="1" si="2"/>
        <v>4.2638888888888893</v>
      </c>
    </row>
    <row r="168" spans="1:12" x14ac:dyDescent="0.25">
      <c r="A168" s="4">
        <v>939</v>
      </c>
      <c r="B168" s="4" t="s">
        <v>195</v>
      </c>
      <c r="C168" s="4" t="s">
        <v>455</v>
      </c>
      <c r="D168" s="4" t="s">
        <v>8</v>
      </c>
      <c r="E168" s="4" t="s">
        <v>17</v>
      </c>
      <c r="F168" s="6">
        <v>0.42</v>
      </c>
      <c r="G168" s="4">
        <v>3</v>
      </c>
      <c r="H168" s="2">
        <v>82364</v>
      </c>
      <c r="I168" s="4" t="s">
        <v>2</v>
      </c>
      <c r="J168" s="4" t="s">
        <v>2</v>
      </c>
      <c r="K168" s="5">
        <v>44028</v>
      </c>
      <c r="L168" s="3">
        <f t="shared" ca="1" si="2"/>
        <v>3.8277777777777779</v>
      </c>
    </row>
    <row r="169" spans="1:12" x14ac:dyDescent="0.25">
      <c r="A169" s="4">
        <v>940</v>
      </c>
      <c r="B169" s="4" t="s">
        <v>196</v>
      </c>
      <c r="C169" s="4" t="s">
        <v>453</v>
      </c>
      <c r="D169" s="4" t="s">
        <v>10</v>
      </c>
      <c r="E169" s="4" t="s">
        <v>16</v>
      </c>
      <c r="F169" s="6">
        <v>0.56999999999999995</v>
      </c>
      <c r="G169" s="4">
        <v>2</v>
      </c>
      <c r="H169" s="2">
        <v>251363</v>
      </c>
      <c r="I169" s="4" t="s">
        <v>1</v>
      </c>
      <c r="J169" s="4" t="s">
        <v>1</v>
      </c>
      <c r="K169" s="5">
        <v>43626</v>
      </c>
      <c r="L169" s="3">
        <f t="shared" ca="1" si="2"/>
        <v>4.927777777777778</v>
      </c>
    </row>
    <row r="170" spans="1:12" x14ac:dyDescent="0.25">
      <c r="A170" s="4">
        <v>941</v>
      </c>
      <c r="B170" s="4" t="s">
        <v>197</v>
      </c>
      <c r="C170" s="4" t="s">
        <v>483</v>
      </c>
      <c r="D170" s="4" t="s">
        <v>10</v>
      </c>
      <c r="E170" s="4" t="s">
        <v>20</v>
      </c>
      <c r="F170" s="6">
        <v>0.35</v>
      </c>
      <c r="G170" s="4">
        <v>3</v>
      </c>
      <c r="H170" s="2">
        <v>258489</v>
      </c>
      <c r="I170" s="4" t="s">
        <v>2</v>
      </c>
      <c r="J170" s="4" t="s">
        <v>2</v>
      </c>
      <c r="K170" s="5">
        <v>43790</v>
      </c>
      <c r="L170" s="3">
        <f t="shared" ca="1" si="2"/>
        <v>4.4805555555555552</v>
      </c>
    </row>
    <row r="171" spans="1:12" x14ac:dyDescent="0.25">
      <c r="A171" s="4">
        <v>943</v>
      </c>
      <c r="B171" s="4" t="s">
        <v>198</v>
      </c>
      <c r="C171" s="4" t="s">
        <v>479</v>
      </c>
      <c r="D171" s="4" t="s">
        <v>10</v>
      </c>
      <c r="E171" s="4" t="s">
        <v>16</v>
      </c>
      <c r="F171" s="6">
        <v>0.2</v>
      </c>
      <c r="G171" s="4">
        <v>1</v>
      </c>
      <c r="H171" s="2">
        <v>250506</v>
      </c>
      <c r="I171" s="4" t="s">
        <v>2</v>
      </c>
      <c r="J171" s="4" t="s">
        <v>2</v>
      </c>
      <c r="K171" s="5">
        <v>43092</v>
      </c>
      <c r="L171" s="3">
        <f t="shared" ca="1" si="2"/>
        <v>6.3916666666666666</v>
      </c>
    </row>
    <row r="172" spans="1:12" x14ac:dyDescent="0.25">
      <c r="A172" s="4">
        <v>944</v>
      </c>
      <c r="B172" s="4" t="s">
        <v>199</v>
      </c>
      <c r="C172" s="4" t="s">
        <v>473</v>
      </c>
      <c r="D172" s="4" t="s">
        <v>10</v>
      </c>
      <c r="E172" s="4" t="s">
        <v>16</v>
      </c>
      <c r="F172" s="6">
        <v>0.35</v>
      </c>
      <c r="G172" s="4">
        <v>1</v>
      </c>
      <c r="H172" s="2">
        <v>272461</v>
      </c>
      <c r="I172" s="4" t="s">
        <v>2</v>
      </c>
      <c r="J172" s="4" t="s">
        <v>2</v>
      </c>
      <c r="K172" s="5">
        <v>44149</v>
      </c>
      <c r="L172" s="3">
        <f t="shared" ca="1" si="2"/>
        <v>3.5</v>
      </c>
    </row>
    <row r="173" spans="1:12" x14ac:dyDescent="0.25">
      <c r="A173" s="4">
        <v>945</v>
      </c>
      <c r="B173" s="4" t="s">
        <v>200</v>
      </c>
      <c r="C173" s="4" t="s">
        <v>460</v>
      </c>
      <c r="D173" s="4" t="s">
        <v>10</v>
      </c>
      <c r="E173" s="4" t="s">
        <v>18</v>
      </c>
      <c r="F173" s="6">
        <v>0.9</v>
      </c>
      <c r="G173" s="4">
        <v>2</v>
      </c>
      <c r="H173" s="2">
        <v>250141</v>
      </c>
      <c r="I173" s="4" t="s">
        <v>1</v>
      </c>
      <c r="J173" s="4" t="s">
        <v>1</v>
      </c>
      <c r="K173" s="5">
        <v>44184</v>
      </c>
      <c r="L173" s="3">
        <f t="shared" ca="1" si="2"/>
        <v>3.4027777777777777</v>
      </c>
    </row>
    <row r="174" spans="1:12" x14ac:dyDescent="0.25">
      <c r="A174" s="4">
        <v>946</v>
      </c>
      <c r="B174" s="4" t="s">
        <v>201</v>
      </c>
      <c r="C174" s="4" t="s">
        <v>436</v>
      </c>
      <c r="D174" s="4" t="s">
        <v>9</v>
      </c>
      <c r="E174" s="4" t="s">
        <v>16</v>
      </c>
      <c r="F174" s="6">
        <v>0.97</v>
      </c>
      <c r="G174" s="4">
        <v>1</v>
      </c>
      <c r="H174" s="2">
        <v>129244</v>
      </c>
      <c r="I174" s="4" t="s">
        <v>2</v>
      </c>
      <c r="J174" s="4" t="s">
        <v>2</v>
      </c>
      <c r="K174" s="5">
        <v>44072</v>
      </c>
      <c r="L174" s="3">
        <f t="shared" ca="1" si="2"/>
        <v>3.7083333333333335</v>
      </c>
    </row>
    <row r="175" spans="1:12" x14ac:dyDescent="0.25">
      <c r="A175" s="4">
        <v>947</v>
      </c>
      <c r="B175" s="4" t="s">
        <v>202</v>
      </c>
      <c r="C175" s="4" t="s">
        <v>456</v>
      </c>
      <c r="D175" s="4" t="s">
        <v>9</v>
      </c>
      <c r="E175" s="4" t="s">
        <v>15</v>
      </c>
      <c r="F175" s="6">
        <v>0.62</v>
      </c>
      <c r="G175" s="4">
        <v>2</v>
      </c>
      <c r="H175" s="2">
        <v>119476</v>
      </c>
      <c r="I175" s="4" t="s">
        <v>2</v>
      </c>
      <c r="J175" s="4" t="s">
        <v>2</v>
      </c>
      <c r="K175" s="5">
        <v>42919</v>
      </c>
      <c r="L175" s="3">
        <f t="shared" ca="1" si="2"/>
        <v>6.8638888888888889</v>
      </c>
    </row>
    <row r="176" spans="1:12" x14ac:dyDescent="0.25">
      <c r="A176" s="4">
        <v>948</v>
      </c>
      <c r="B176" s="4" t="s">
        <v>203</v>
      </c>
      <c r="C176" s="4" t="s">
        <v>441</v>
      </c>
      <c r="D176" s="4" t="s">
        <v>14</v>
      </c>
      <c r="E176" s="4" t="s">
        <v>15</v>
      </c>
      <c r="F176" s="6">
        <v>0.34</v>
      </c>
      <c r="G176" s="4">
        <v>1</v>
      </c>
      <c r="H176" s="2">
        <v>223268</v>
      </c>
      <c r="I176" s="4" t="s">
        <v>2</v>
      </c>
      <c r="J176" s="4" t="s">
        <v>1</v>
      </c>
      <c r="K176" s="5">
        <v>43807</v>
      </c>
      <c r="L176" s="3">
        <f t="shared" ca="1" si="2"/>
        <v>4.4333333333333336</v>
      </c>
    </row>
    <row r="177" spans="1:12" x14ac:dyDescent="0.25">
      <c r="A177" s="4">
        <v>949</v>
      </c>
      <c r="B177" s="4" t="s">
        <v>72</v>
      </c>
      <c r="C177" s="4" t="s">
        <v>452</v>
      </c>
      <c r="D177" s="4" t="s">
        <v>14</v>
      </c>
      <c r="E177" s="4" t="s">
        <v>16</v>
      </c>
      <c r="F177" s="6">
        <v>0.69</v>
      </c>
      <c r="G177" s="4">
        <v>3</v>
      </c>
      <c r="H177" s="2">
        <v>246814</v>
      </c>
      <c r="I177" s="4" t="s">
        <v>2</v>
      </c>
      <c r="J177" s="4" t="s">
        <v>1</v>
      </c>
      <c r="K177" s="5">
        <v>44166</v>
      </c>
      <c r="L177" s="3">
        <f t="shared" ca="1" si="2"/>
        <v>3.4527777777777779</v>
      </c>
    </row>
    <row r="178" spans="1:12" x14ac:dyDescent="0.25">
      <c r="A178" s="4">
        <v>950</v>
      </c>
      <c r="B178" s="4" t="s">
        <v>204</v>
      </c>
      <c r="C178" s="4" t="s">
        <v>444</v>
      </c>
      <c r="D178" s="4" t="s">
        <v>8</v>
      </c>
      <c r="E178" s="4" t="s">
        <v>19</v>
      </c>
      <c r="F178" s="6">
        <v>0</v>
      </c>
      <c r="G178" s="4">
        <v>0</v>
      </c>
      <c r="H178" s="2">
        <v>82781</v>
      </c>
      <c r="I178" s="4" t="s">
        <v>2</v>
      </c>
      <c r="J178" s="4" t="s">
        <v>1</v>
      </c>
      <c r="K178" s="5">
        <v>43133</v>
      </c>
      <c r="L178" s="3">
        <f t="shared" ca="1" si="2"/>
        <v>6.2833333333333332</v>
      </c>
    </row>
    <row r="179" spans="1:12" x14ac:dyDescent="0.25">
      <c r="A179" s="4">
        <v>952</v>
      </c>
      <c r="B179" s="4" t="s">
        <v>205</v>
      </c>
      <c r="C179" s="4" t="s">
        <v>465</v>
      </c>
      <c r="D179" s="4" t="s">
        <v>14</v>
      </c>
      <c r="E179" s="4" t="s">
        <v>17</v>
      </c>
      <c r="F179" s="6">
        <v>0.41</v>
      </c>
      <c r="G179" s="4">
        <v>5</v>
      </c>
      <c r="H179" s="2">
        <v>236203</v>
      </c>
      <c r="I179" s="4" t="s">
        <v>2</v>
      </c>
      <c r="J179" s="4" t="s">
        <v>1</v>
      </c>
      <c r="K179" s="5">
        <v>43692</v>
      </c>
      <c r="L179" s="3">
        <f t="shared" ca="1" si="2"/>
        <v>4.7472222222222218</v>
      </c>
    </row>
    <row r="180" spans="1:12" x14ac:dyDescent="0.25">
      <c r="A180" s="4">
        <v>954</v>
      </c>
      <c r="B180" s="4" t="s">
        <v>206</v>
      </c>
      <c r="C180" s="4" t="s">
        <v>450</v>
      </c>
      <c r="D180" s="4" t="s">
        <v>10</v>
      </c>
      <c r="E180" s="4" t="s">
        <v>19</v>
      </c>
      <c r="F180" s="6">
        <v>0</v>
      </c>
      <c r="G180" s="4">
        <v>2</v>
      </c>
      <c r="H180" s="2">
        <v>256906</v>
      </c>
      <c r="I180" s="4" t="s">
        <v>2</v>
      </c>
      <c r="J180" s="4" t="s">
        <v>1</v>
      </c>
      <c r="K180" s="5">
        <v>43816</v>
      </c>
      <c r="L180" s="3">
        <f t="shared" ca="1" si="2"/>
        <v>4.4083333333333332</v>
      </c>
    </row>
    <row r="181" spans="1:12" x14ac:dyDescent="0.25">
      <c r="A181" s="4">
        <v>955</v>
      </c>
      <c r="B181" s="4" t="s">
        <v>207</v>
      </c>
      <c r="C181" s="4" t="s">
        <v>483</v>
      </c>
      <c r="D181" s="4" t="s">
        <v>14</v>
      </c>
      <c r="E181" s="4" t="s">
        <v>21</v>
      </c>
      <c r="F181" s="6">
        <v>0.67</v>
      </c>
      <c r="G181" s="4">
        <v>1</v>
      </c>
      <c r="H181" s="2">
        <v>222578</v>
      </c>
      <c r="I181" s="4" t="s">
        <v>2</v>
      </c>
      <c r="J181" s="4" t="s">
        <v>2</v>
      </c>
      <c r="K181" s="5">
        <v>43461</v>
      </c>
      <c r="L181" s="3">
        <f t="shared" ca="1" si="2"/>
        <v>5.3805555555555555</v>
      </c>
    </row>
    <row r="182" spans="1:12" x14ac:dyDescent="0.25">
      <c r="A182" s="4">
        <v>956</v>
      </c>
      <c r="B182" s="4" t="s">
        <v>208</v>
      </c>
      <c r="C182" s="4" t="s">
        <v>440</v>
      </c>
      <c r="D182" s="4" t="s">
        <v>10</v>
      </c>
      <c r="E182" s="4" t="s">
        <v>17</v>
      </c>
      <c r="F182" s="6">
        <v>0.52</v>
      </c>
      <c r="G182" s="4">
        <v>1</v>
      </c>
      <c r="H182" s="2">
        <v>261050</v>
      </c>
      <c r="I182" s="4" t="s">
        <v>2</v>
      </c>
      <c r="J182" s="4" t="s">
        <v>1</v>
      </c>
      <c r="K182" s="5">
        <v>43062</v>
      </c>
      <c r="L182" s="3">
        <f t="shared" ca="1" si="2"/>
        <v>6.4749999999999996</v>
      </c>
    </row>
    <row r="183" spans="1:12" x14ac:dyDescent="0.25">
      <c r="A183" s="4">
        <v>957</v>
      </c>
      <c r="B183" s="4" t="s">
        <v>209</v>
      </c>
      <c r="C183" s="4" t="s">
        <v>452</v>
      </c>
      <c r="D183" s="4" t="s">
        <v>9</v>
      </c>
      <c r="E183" s="4" t="s">
        <v>20</v>
      </c>
      <c r="F183" s="6">
        <v>0.63</v>
      </c>
      <c r="G183" s="4">
        <v>5</v>
      </c>
      <c r="H183" s="2">
        <v>107014</v>
      </c>
      <c r="I183" s="4" t="s">
        <v>2</v>
      </c>
      <c r="J183" s="4" t="s">
        <v>1</v>
      </c>
      <c r="K183" s="5">
        <v>42936</v>
      </c>
      <c r="L183" s="3">
        <f t="shared" ca="1" si="2"/>
        <v>6.8166666666666664</v>
      </c>
    </row>
    <row r="184" spans="1:12" x14ac:dyDescent="0.25">
      <c r="A184" s="4">
        <v>959</v>
      </c>
      <c r="B184" s="4" t="s">
        <v>210</v>
      </c>
      <c r="C184" s="4" t="s">
        <v>476</v>
      </c>
      <c r="D184" s="4" t="s">
        <v>8</v>
      </c>
      <c r="E184" s="4" t="s">
        <v>17</v>
      </c>
      <c r="F184" s="6">
        <v>0.1</v>
      </c>
      <c r="G184" s="4">
        <v>1</v>
      </c>
      <c r="H184" s="2">
        <v>97440</v>
      </c>
      <c r="I184" s="4" t="s">
        <v>2</v>
      </c>
      <c r="J184" s="4" t="s">
        <v>2</v>
      </c>
      <c r="K184" s="5">
        <v>43480</v>
      </c>
      <c r="L184" s="3">
        <f t="shared" ca="1" si="2"/>
        <v>5.3305555555555557</v>
      </c>
    </row>
    <row r="185" spans="1:12" x14ac:dyDescent="0.25">
      <c r="A185" s="4">
        <v>960</v>
      </c>
      <c r="B185" s="4" t="s">
        <v>211</v>
      </c>
      <c r="C185" s="4" t="s">
        <v>470</v>
      </c>
      <c r="D185" s="4" t="s">
        <v>10</v>
      </c>
      <c r="E185" s="4" t="s">
        <v>17</v>
      </c>
      <c r="F185" s="6">
        <v>0.11</v>
      </c>
      <c r="G185" s="4">
        <v>2</v>
      </c>
      <c r="H185" s="2">
        <v>269759</v>
      </c>
      <c r="I185" s="4" t="s">
        <v>2</v>
      </c>
      <c r="J185" s="4" t="s">
        <v>2</v>
      </c>
      <c r="K185" s="5">
        <v>43936</v>
      </c>
      <c r="L185" s="3">
        <f t="shared" ca="1" si="2"/>
        <v>4.0805555555555557</v>
      </c>
    </row>
    <row r="186" spans="1:12" x14ac:dyDescent="0.25">
      <c r="A186" s="4">
        <v>961</v>
      </c>
      <c r="B186" s="4" t="s">
        <v>212</v>
      </c>
      <c r="C186" s="4" t="s">
        <v>453</v>
      </c>
      <c r="D186" s="4" t="s">
        <v>8</v>
      </c>
      <c r="E186" s="4" t="s">
        <v>15</v>
      </c>
      <c r="F186" s="6">
        <v>0.25</v>
      </c>
      <c r="G186" s="4">
        <v>0</v>
      </c>
      <c r="H186" s="2">
        <v>85782</v>
      </c>
      <c r="I186" s="4" t="s">
        <v>2</v>
      </c>
      <c r="J186" s="4" t="s">
        <v>2</v>
      </c>
      <c r="K186" s="5">
        <v>43097</v>
      </c>
      <c r="L186" s="3">
        <f t="shared" ca="1" si="2"/>
        <v>6.3777777777777782</v>
      </c>
    </row>
    <row r="187" spans="1:12" x14ac:dyDescent="0.25">
      <c r="A187" s="4">
        <v>962</v>
      </c>
      <c r="B187" s="4" t="s">
        <v>213</v>
      </c>
      <c r="C187" s="4" t="s">
        <v>449</v>
      </c>
      <c r="D187" s="4" t="s">
        <v>10</v>
      </c>
      <c r="E187" s="4" t="s">
        <v>20</v>
      </c>
      <c r="F187" s="6">
        <v>0.35</v>
      </c>
      <c r="G187" s="4">
        <v>4</v>
      </c>
      <c r="H187" s="2">
        <v>261329</v>
      </c>
      <c r="I187" s="4" t="s">
        <v>2</v>
      </c>
      <c r="J187" s="4" t="s">
        <v>1</v>
      </c>
      <c r="K187" s="5">
        <v>43598</v>
      </c>
      <c r="L187" s="3">
        <f t="shared" ca="1" si="2"/>
        <v>5.0027777777777782</v>
      </c>
    </row>
    <row r="188" spans="1:12" x14ac:dyDescent="0.25">
      <c r="A188" s="4">
        <v>963</v>
      </c>
      <c r="B188" s="4" t="s">
        <v>214</v>
      </c>
      <c r="C188" s="4" t="s">
        <v>484</v>
      </c>
      <c r="D188" s="4" t="s">
        <v>4</v>
      </c>
      <c r="E188" s="4" t="s">
        <v>3</v>
      </c>
      <c r="F188" s="6">
        <v>0.79</v>
      </c>
      <c r="G188" s="4">
        <v>3</v>
      </c>
      <c r="H188" s="2">
        <v>189342</v>
      </c>
      <c r="I188" s="4" t="s">
        <v>2</v>
      </c>
      <c r="J188" s="4" t="s">
        <v>1</v>
      </c>
      <c r="K188" s="5">
        <v>43323</v>
      </c>
      <c r="L188" s="3">
        <f t="shared" ca="1" si="2"/>
        <v>5.7583333333333337</v>
      </c>
    </row>
    <row r="189" spans="1:12" x14ac:dyDescent="0.25">
      <c r="A189" s="4">
        <v>964</v>
      </c>
      <c r="B189" s="4" t="s">
        <v>215</v>
      </c>
      <c r="C189" s="4" t="s">
        <v>455</v>
      </c>
      <c r="D189" s="4" t="s">
        <v>8</v>
      </c>
      <c r="E189" s="4" t="s">
        <v>21</v>
      </c>
      <c r="F189" s="6">
        <v>0.56999999999999995</v>
      </c>
      <c r="G189" s="4">
        <v>1</v>
      </c>
      <c r="H189" s="2">
        <v>63634</v>
      </c>
      <c r="I189" s="4" t="s">
        <v>2</v>
      </c>
      <c r="J189" s="4" t="s">
        <v>2</v>
      </c>
      <c r="K189" s="5">
        <v>44027</v>
      </c>
      <c r="L189" s="3">
        <f t="shared" ca="1" si="2"/>
        <v>3.8305555555555557</v>
      </c>
    </row>
    <row r="190" spans="1:12" x14ac:dyDescent="0.25">
      <c r="A190" s="4">
        <v>965</v>
      </c>
      <c r="B190" s="4" t="s">
        <v>216</v>
      </c>
      <c r="C190" s="4" t="s">
        <v>462</v>
      </c>
      <c r="D190" s="4" t="s">
        <v>10</v>
      </c>
      <c r="E190" s="4" t="s">
        <v>17</v>
      </c>
      <c r="F190" s="6">
        <v>0.82</v>
      </c>
      <c r="G190" s="4">
        <v>3</v>
      </c>
      <c r="H190" s="2">
        <v>263916</v>
      </c>
      <c r="I190" s="4" t="s">
        <v>2</v>
      </c>
      <c r="J190" s="4" t="s">
        <v>2</v>
      </c>
      <c r="K190" s="5">
        <v>42867</v>
      </c>
      <c r="L190" s="3">
        <f t="shared" ca="1" si="2"/>
        <v>7.0055555555555555</v>
      </c>
    </row>
    <row r="191" spans="1:12" x14ac:dyDescent="0.25">
      <c r="A191" s="4">
        <v>967</v>
      </c>
      <c r="B191" s="4" t="s">
        <v>217</v>
      </c>
      <c r="C191" s="4" t="s">
        <v>436</v>
      </c>
      <c r="D191" s="4" t="s">
        <v>4</v>
      </c>
      <c r="E191" s="4" t="s">
        <v>20</v>
      </c>
      <c r="F191" s="6">
        <v>0.85</v>
      </c>
      <c r="G191" s="4">
        <v>0</v>
      </c>
      <c r="H191" s="2">
        <v>187266</v>
      </c>
      <c r="I191" s="4" t="s">
        <v>1</v>
      </c>
      <c r="J191" s="4" t="s">
        <v>2</v>
      </c>
      <c r="K191" s="5">
        <v>42871</v>
      </c>
      <c r="L191" s="3">
        <f t="shared" ca="1" si="2"/>
        <v>6.9944444444444445</v>
      </c>
    </row>
    <row r="192" spans="1:12" x14ac:dyDescent="0.25">
      <c r="A192" s="4">
        <v>968</v>
      </c>
      <c r="B192" s="4" t="s">
        <v>218</v>
      </c>
      <c r="C192" s="4" t="s">
        <v>456</v>
      </c>
      <c r="D192" s="4" t="s">
        <v>14</v>
      </c>
      <c r="E192" s="4" t="s">
        <v>21</v>
      </c>
      <c r="F192" s="6">
        <v>0.59</v>
      </c>
      <c r="G192" s="4">
        <v>2</v>
      </c>
      <c r="H192" s="2">
        <v>231954</v>
      </c>
      <c r="I192" s="4" t="s">
        <v>1</v>
      </c>
      <c r="J192" s="4" t="s">
        <v>1</v>
      </c>
      <c r="K192" s="5">
        <v>43287</v>
      </c>
      <c r="L192" s="3">
        <f t="shared" ca="1" si="2"/>
        <v>5.8555555555555552</v>
      </c>
    </row>
    <row r="193" spans="1:12" x14ac:dyDescent="0.25">
      <c r="A193" s="4">
        <v>970</v>
      </c>
      <c r="B193" s="4" t="s">
        <v>219</v>
      </c>
      <c r="C193" s="4" t="s">
        <v>448</v>
      </c>
      <c r="D193" s="4" t="s">
        <v>9</v>
      </c>
      <c r="E193" s="4" t="s">
        <v>19</v>
      </c>
      <c r="F193" s="6">
        <v>0</v>
      </c>
      <c r="G193" s="4">
        <v>1</v>
      </c>
      <c r="H193" s="2">
        <v>114725</v>
      </c>
      <c r="I193" s="4" t="s">
        <v>1</v>
      </c>
      <c r="J193" s="4" t="s">
        <v>1</v>
      </c>
      <c r="K193" s="5">
        <v>44048</v>
      </c>
      <c r="L193" s="3">
        <f t="shared" ca="1" si="2"/>
        <v>3.7749999999999999</v>
      </c>
    </row>
    <row r="194" spans="1:12" x14ac:dyDescent="0.25">
      <c r="A194" s="4">
        <v>971</v>
      </c>
      <c r="B194" s="4" t="s">
        <v>220</v>
      </c>
      <c r="C194" s="4" t="s">
        <v>469</v>
      </c>
      <c r="D194" s="4" t="s">
        <v>4</v>
      </c>
      <c r="E194" s="4" t="s">
        <v>21</v>
      </c>
      <c r="F194" s="6">
        <v>0.62</v>
      </c>
      <c r="G194" s="4">
        <v>2</v>
      </c>
      <c r="H194" s="2">
        <v>197410</v>
      </c>
      <c r="I194" s="4" t="s">
        <v>1</v>
      </c>
      <c r="J194" s="4" t="s">
        <v>2</v>
      </c>
      <c r="K194" s="5">
        <v>42944</v>
      </c>
      <c r="L194" s="3">
        <f t="shared" ca="1" si="2"/>
        <v>6.7944444444444443</v>
      </c>
    </row>
    <row r="195" spans="1:12" x14ac:dyDescent="0.25">
      <c r="A195" s="4">
        <v>973</v>
      </c>
      <c r="B195" s="4" t="s">
        <v>221</v>
      </c>
      <c r="C195" s="4" t="s">
        <v>471</v>
      </c>
      <c r="D195" s="4" t="s">
        <v>8</v>
      </c>
      <c r="E195" s="4" t="s">
        <v>15</v>
      </c>
      <c r="F195" s="6">
        <v>0.31</v>
      </c>
      <c r="G195" s="4">
        <v>3</v>
      </c>
      <c r="H195" s="2">
        <v>79529</v>
      </c>
      <c r="I195" s="4" t="s">
        <v>1</v>
      </c>
      <c r="J195" s="4" t="s">
        <v>1</v>
      </c>
      <c r="K195" s="5">
        <v>43170</v>
      </c>
      <c r="L195" s="3">
        <f t="shared" ref="L195:L258" ca="1" si="3">YEARFRAC(K195,TODAY())</f>
        <v>6.1749999999999998</v>
      </c>
    </row>
    <row r="196" spans="1:12" x14ac:dyDescent="0.25">
      <c r="A196" s="4">
        <v>975</v>
      </c>
      <c r="B196" s="4" t="s">
        <v>222</v>
      </c>
      <c r="C196" s="4" t="s">
        <v>465</v>
      </c>
      <c r="D196" s="4" t="s">
        <v>10</v>
      </c>
      <c r="E196" s="4" t="s">
        <v>3</v>
      </c>
      <c r="F196" s="6">
        <v>0.87</v>
      </c>
      <c r="G196" s="4">
        <v>3</v>
      </c>
      <c r="H196" s="2">
        <v>264108</v>
      </c>
      <c r="I196" s="4" t="s">
        <v>1</v>
      </c>
      <c r="J196" s="4" t="s">
        <v>1</v>
      </c>
      <c r="K196" s="5">
        <v>43313</v>
      </c>
      <c r="L196" s="3">
        <f t="shared" ca="1" si="3"/>
        <v>5.7861111111111114</v>
      </c>
    </row>
    <row r="197" spans="1:12" x14ac:dyDescent="0.25">
      <c r="A197" s="4">
        <v>976</v>
      </c>
      <c r="B197" s="4" t="s">
        <v>223</v>
      </c>
      <c r="C197" s="4" t="s">
        <v>444</v>
      </c>
      <c r="D197" s="4" t="s">
        <v>4</v>
      </c>
      <c r="E197" s="4" t="s">
        <v>21</v>
      </c>
      <c r="F197" s="6">
        <v>0.53</v>
      </c>
      <c r="G197" s="4">
        <v>0</v>
      </c>
      <c r="H197" s="2">
        <v>195890</v>
      </c>
      <c r="I197" s="4" t="s">
        <v>2</v>
      </c>
      <c r="J197" s="4" t="s">
        <v>2</v>
      </c>
      <c r="K197" s="5">
        <v>43891</v>
      </c>
      <c r="L197" s="3">
        <f t="shared" ca="1" si="3"/>
        <v>4.2027777777777775</v>
      </c>
    </row>
    <row r="198" spans="1:12" x14ac:dyDescent="0.25">
      <c r="A198" s="4">
        <v>977</v>
      </c>
      <c r="B198" s="4" t="s">
        <v>224</v>
      </c>
      <c r="C198" s="4" t="s">
        <v>442</v>
      </c>
      <c r="D198" s="4" t="s">
        <v>9</v>
      </c>
      <c r="E198" s="4" t="s">
        <v>18</v>
      </c>
      <c r="F198" s="6">
        <v>0.34</v>
      </c>
      <c r="G198" s="4">
        <v>5</v>
      </c>
      <c r="H198" s="2">
        <v>134311</v>
      </c>
      <c r="I198" s="4" t="s">
        <v>1</v>
      </c>
      <c r="J198" s="4" t="s">
        <v>1</v>
      </c>
      <c r="K198" s="5">
        <v>44151</v>
      </c>
      <c r="L198" s="3">
        <f t="shared" ca="1" si="3"/>
        <v>3.4944444444444445</v>
      </c>
    </row>
    <row r="199" spans="1:12" x14ac:dyDescent="0.25">
      <c r="A199" s="4">
        <v>978</v>
      </c>
      <c r="B199" s="4" t="s">
        <v>225</v>
      </c>
      <c r="C199" s="4" t="s">
        <v>441</v>
      </c>
      <c r="D199" s="4" t="s">
        <v>8</v>
      </c>
      <c r="E199" s="4" t="s">
        <v>21</v>
      </c>
      <c r="F199" s="6">
        <v>0.13</v>
      </c>
      <c r="G199" s="4">
        <v>1</v>
      </c>
      <c r="H199" s="2">
        <v>93905</v>
      </c>
      <c r="I199" s="4" t="s">
        <v>2</v>
      </c>
      <c r="J199" s="4" t="s">
        <v>2</v>
      </c>
      <c r="K199" s="5">
        <v>44187</v>
      </c>
      <c r="L199" s="3">
        <f t="shared" ca="1" si="3"/>
        <v>3.3944444444444444</v>
      </c>
    </row>
    <row r="200" spans="1:12" x14ac:dyDescent="0.25">
      <c r="A200" s="4">
        <v>979</v>
      </c>
      <c r="B200" s="4" t="s">
        <v>226</v>
      </c>
      <c r="C200" s="4" t="s">
        <v>481</v>
      </c>
      <c r="D200" s="4" t="s">
        <v>4</v>
      </c>
      <c r="E200" s="4" t="s">
        <v>20</v>
      </c>
      <c r="F200" s="6">
        <v>0.59</v>
      </c>
      <c r="G200" s="4">
        <v>0</v>
      </c>
      <c r="H200" s="2">
        <v>196764</v>
      </c>
      <c r="I200" s="4" t="s">
        <v>2</v>
      </c>
      <c r="J200" s="4" t="s">
        <v>1</v>
      </c>
      <c r="K200" s="5">
        <v>43637</v>
      </c>
      <c r="L200" s="3">
        <f t="shared" ca="1" si="3"/>
        <v>4.8972222222222221</v>
      </c>
    </row>
    <row r="201" spans="1:12" x14ac:dyDescent="0.25">
      <c r="A201" s="4">
        <v>981</v>
      </c>
      <c r="B201" s="4" t="s">
        <v>227</v>
      </c>
      <c r="C201" s="4" t="s">
        <v>485</v>
      </c>
      <c r="D201" s="4" t="s">
        <v>14</v>
      </c>
      <c r="E201" s="4" t="s">
        <v>20</v>
      </c>
      <c r="F201" s="6">
        <v>0.62</v>
      </c>
      <c r="G201" s="4">
        <v>0</v>
      </c>
      <c r="H201" s="2">
        <v>234079</v>
      </c>
      <c r="I201" s="4" t="s">
        <v>2</v>
      </c>
      <c r="J201" s="4" t="s">
        <v>1</v>
      </c>
      <c r="K201" s="5">
        <v>43194</v>
      </c>
      <c r="L201" s="3">
        <f t="shared" ca="1" si="3"/>
        <v>6.1111111111111107</v>
      </c>
    </row>
    <row r="202" spans="1:12" x14ac:dyDescent="0.25">
      <c r="A202" s="4">
        <v>983</v>
      </c>
      <c r="B202" s="4" t="s">
        <v>228</v>
      </c>
      <c r="C202" s="4" t="s">
        <v>477</v>
      </c>
      <c r="D202" s="4" t="s">
        <v>4</v>
      </c>
      <c r="E202" s="4" t="s">
        <v>20</v>
      </c>
      <c r="F202" s="6">
        <v>0.89</v>
      </c>
      <c r="G202" s="4">
        <v>0</v>
      </c>
      <c r="H202" s="2">
        <v>206930</v>
      </c>
      <c r="I202" s="4" t="s">
        <v>2</v>
      </c>
      <c r="J202" s="4" t="s">
        <v>2</v>
      </c>
      <c r="K202" s="5">
        <v>43244</v>
      </c>
      <c r="L202" s="3">
        <f t="shared" ca="1" si="3"/>
        <v>5.9722222222222223</v>
      </c>
    </row>
    <row r="203" spans="1:12" x14ac:dyDescent="0.25">
      <c r="A203" s="4">
        <v>984</v>
      </c>
      <c r="B203" s="4" t="s">
        <v>229</v>
      </c>
      <c r="C203" s="4" t="s">
        <v>472</v>
      </c>
      <c r="D203" s="4" t="s">
        <v>10</v>
      </c>
      <c r="E203" s="4" t="s">
        <v>15</v>
      </c>
      <c r="F203" s="6">
        <v>0.53</v>
      </c>
      <c r="G203" s="4">
        <v>1</v>
      </c>
      <c r="H203" s="2">
        <v>274977</v>
      </c>
      <c r="I203" s="4" t="s">
        <v>2</v>
      </c>
      <c r="J203" s="4" t="s">
        <v>1</v>
      </c>
      <c r="K203" s="5">
        <v>44180</v>
      </c>
      <c r="L203" s="3">
        <f t="shared" ca="1" si="3"/>
        <v>3.4138888888888888</v>
      </c>
    </row>
    <row r="204" spans="1:12" x14ac:dyDescent="0.25">
      <c r="A204" s="4">
        <v>985</v>
      </c>
      <c r="B204" s="4" t="s">
        <v>230</v>
      </c>
      <c r="C204" s="4" t="s">
        <v>473</v>
      </c>
      <c r="D204" s="4" t="s">
        <v>9</v>
      </c>
      <c r="E204" s="4" t="s">
        <v>3</v>
      </c>
      <c r="F204" s="6">
        <v>0.8</v>
      </c>
      <c r="G204" s="4">
        <v>0</v>
      </c>
      <c r="H204" s="2">
        <v>124656</v>
      </c>
      <c r="I204" s="4" t="s">
        <v>2</v>
      </c>
      <c r="J204" s="4" t="s">
        <v>2</v>
      </c>
      <c r="K204" s="5">
        <v>43040</v>
      </c>
      <c r="L204" s="3">
        <f t="shared" ca="1" si="3"/>
        <v>6.5361111111111114</v>
      </c>
    </row>
    <row r="205" spans="1:12" x14ac:dyDescent="0.25">
      <c r="A205" s="4">
        <v>988</v>
      </c>
      <c r="B205" s="4" t="s">
        <v>231</v>
      </c>
      <c r="C205" s="4" t="s">
        <v>479</v>
      </c>
      <c r="D205" s="4" t="s">
        <v>9</v>
      </c>
      <c r="E205" s="4" t="s">
        <v>18</v>
      </c>
      <c r="F205" s="6">
        <v>0.61</v>
      </c>
      <c r="G205" s="4">
        <v>0</v>
      </c>
      <c r="H205" s="2">
        <v>115367</v>
      </c>
      <c r="I205" s="4" t="s">
        <v>2</v>
      </c>
      <c r="J205" s="4" t="s">
        <v>1</v>
      </c>
      <c r="K205" s="5">
        <v>43084</v>
      </c>
      <c r="L205" s="3">
        <f t="shared" ca="1" si="3"/>
        <v>6.4138888888888888</v>
      </c>
    </row>
    <row r="206" spans="1:12" x14ac:dyDescent="0.25">
      <c r="A206" s="4">
        <v>990</v>
      </c>
      <c r="B206" s="4" t="s">
        <v>232</v>
      </c>
      <c r="C206" s="4" t="s">
        <v>447</v>
      </c>
      <c r="D206" s="4" t="s">
        <v>8</v>
      </c>
      <c r="E206" s="4" t="s">
        <v>19</v>
      </c>
      <c r="F206" s="6">
        <v>0</v>
      </c>
      <c r="G206" s="4">
        <v>1</v>
      </c>
      <c r="H206" s="2">
        <v>92829</v>
      </c>
      <c r="I206" s="4" t="s">
        <v>2</v>
      </c>
      <c r="J206" s="4" t="s">
        <v>1</v>
      </c>
      <c r="K206" s="5">
        <v>44063</v>
      </c>
      <c r="L206" s="3">
        <f t="shared" ca="1" si="3"/>
        <v>3.7333333333333334</v>
      </c>
    </row>
    <row r="207" spans="1:12" x14ac:dyDescent="0.25">
      <c r="A207" s="4">
        <v>991</v>
      </c>
      <c r="B207" s="4" t="s">
        <v>233</v>
      </c>
      <c r="C207" s="4" t="s">
        <v>480</v>
      </c>
      <c r="D207" s="4" t="s">
        <v>9</v>
      </c>
      <c r="E207" s="4" t="s">
        <v>21</v>
      </c>
      <c r="F207" s="6">
        <v>0.21</v>
      </c>
      <c r="G207" s="4">
        <v>1</v>
      </c>
      <c r="H207" s="2">
        <v>121513</v>
      </c>
      <c r="I207" s="4" t="s">
        <v>2</v>
      </c>
      <c r="J207" s="4" t="s">
        <v>2</v>
      </c>
      <c r="K207" s="5">
        <v>43395</v>
      </c>
      <c r="L207" s="3">
        <f t="shared" ca="1" si="3"/>
        <v>5.5611111111111109</v>
      </c>
    </row>
    <row r="208" spans="1:12" x14ac:dyDescent="0.25">
      <c r="A208" s="4">
        <v>992</v>
      </c>
      <c r="B208" s="4" t="s">
        <v>234</v>
      </c>
      <c r="C208" s="4" t="s">
        <v>454</v>
      </c>
      <c r="D208" s="4" t="s">
        <v>4</v>
      </c>
      <c r="E208" s="4" t="s">
        <v>17</v>
      </c>
      <c r="F208" s="6">
        <v>0.68</v>
      </c>
      <c r="G208" s="4">
        <v>4</v>
      </c>
      <c r="H208" s="2">
        <v>199076</v>
      </c>
      <c r="I208" s="4" t="s">
        <v>2</v>
      </c>
      <c r="J208" s="4" t="s">
        <v>1</v>
      </c>
      <c r="K208" s="5">
        <v>43425</v>
      </c>
      <c r="L208" s="3">
        <f t="shared" ca="1" si="3"/>
        <v>5.4805555555555552</v>
      </c>
    </row>
    <row r="209" spans="1:12" x14ac:dyDescent="0.25">
      <c r="A209" s="4">
        <v>993</v>
      </c>
      <c r="B209" s="4" t="s">
        <v>108</v>
      </c>
      <c r="C209" s="4" t="s">
        <v>459</v>
      </c>
      <c r="D209" s="4" t="s">
        <v>8</v>
      </c>
      <c r="E209" s="4" t="s">
        <v>19</v>
      </c>
      <c r="F209" s="6">
        <v>0</v>
      </c>
      <c r="G209" s="4">
        <v>4</v>
      </c>
      <c r="H209" s="2">
        <v>84697</v>
      </c>
      <c r="I209" s="4" t="s">
        <v>1</v>
      </c>
      <c r="J209" s="4" t="s">
        <v>1</v>
      </c>
      <c r="K209" s="5">
        <v>43229</v>
      </c>
      <c r="L209" s="3">
        <f t="shared" ca="1" si="3"/>
        <v>6.0138888888888893</v>
      </c>
    </row>
    <row r="210" spans="1:12" x14ac:dyDescent="0.25">
      <c r="A210" s="4">
        <v>994</v>
      </c>
      <c r="B210" s="4" t="s">
        <v>235</v>
      </c>
      <c r="C210" s="4" t="s">
        <v>467</v>
      </c>
      <c r="D210" s="4" t="s">
        <v>8</v>
      </c>
      <c r="E210" s="4" t="s">
        <v>3</v>
      </c>
      <c r="F210" s="6">
        <v>0.56000000000000005</v>
      </c>
      <c r="G210" s="4">
        <v>1</v>
      </c>
      <c r="H210" s="2">
        <v>61313</v>
      </c>
      <c r="I210" s="4" t="s">
        <v>2</v>
      </c>
      <c r="J210" s="4" t="s">
        <v>2</v>
      </c>
      <c r="K210" s="5">
        <v>44111</v>
      </c>
      <c r="L210" s="3">
        <f t="shared" ca="1" si="3"/>
        <v>3.6027777777777779</v>
      </c>
    </row>
    <row r="211" spans="1:12" x14ac:dyDescent="0.25">
      <c r="A211" s="4">
        <v>995</v>
      </c>
      <c r="B211" s="4" t="s">
        <v>236</v>
      </c>
      <c r="C211" s="4" t="s">
        <v>458</v>
      </c>
      <c r="D211" s="4" t="s">
        <v>10</v>
      </c>
      <c r="E211" s="4" t="s">
        <v>21</v>
      </c>
      <c r="F211" s="6">
        <v>0.28000000000000003</v>
      </c>
      <c r="G211" s="4">
        <v>1</v>
      </c>
      <c r="H211" s="2">
        <v>261553</v>
      </c>
      <c r="I211" s="4" t="s">
        <v>2</v>
      </c>
      <c r="J211" s="4" t="s">
        <v>2</v>
      </c>
      <c r="K211" s="5">
        <v>43852</v>
      </c>
      <c r="L211" s="3">
        <f t="shared" ca="1" si="3"/>
        <v>4.3111111111111109</v>
      </c>
    </row>
    <row r="212" spans="1:12" x14ac:dyDescent="0.25">
      <c r="A212" s="4">
        <v>996</v>
      </c>
      <c r="B212" s="4" t="s">
        <v>237</v>
      </c>
      <c r="C212" s="4" t="s">
        <v>476</v>
      </c>
      <c r="D212" s="4" t="s">
        <v>9</v>
      </c>
      <c r="E212" s="4" t="s">
        <v>19</v>
      </c>
      <c r="F212" s="6">
        <v>0</v>
      </c>
      <c r="G212" s="4">
        <v>0</v>
      </c>
      <c r="H212" s="2">
        <v>145573</v>
      </c>
      <c r="I212" s="4" t="s">
        <v>2</v>
      </c>
      <c r="J212" s="4" t="s">
        <v>2</v>
      </c>
      <c r="K212" s="5">
        <v>43870</v>
      </c>
      <c r="L212" s="3">
        <f t="shared" ca="1" si="3"/>
        <v>4.2638888888888893</v>
      </c>
    </row>
    <row r="213" spans="1:12" x14ac:dyDescent="0.25">
      <c r="A213" s="4">
        <v>997</v>
      </c>
      <c r="B213" s="4" t="s">
        <v>238</v>
      </c>
      <c r="C213" s="4" t="s">
        <v>449</v>
      </c>
      <c r="D213" s="4" t="s">
        <v>4</v>
      </c>
      <c r="E213" s="4" t="s">
        <v>20</v>
      </c>
      <c r="F213" s="6">
        <v>0.66</v>
      </c>
      <c r="G213" s="4">
        <v>4</v>
      </c>
      <c r="H213" s="2">
        <v>208015</v>
      </c>
      <c r="I213" s="4" t="s">
        <v>2</v>
      </c>
      <c r="J213" s="4" t="s">
        <v>1</v>
      </c>
      <c r="K213" s="5">
        <v>43020</v>
      </c>
      <c r="L213" s="3">
        <f t="shared" ca="1" si="3"/>
        <v>6.5888888888888886</v>
      </c>
    </row>
    <row r="214" spans="1:12" x14ac:dyDescent="0.25">
      <c r="A214" s="4">
        <v>998</v>
      </c>
      <c r="B214" s="4" t="s">
        <v>239</v>
      </c>
      <c r="C214" s="4" t="s">
        <v>466</v>
      </c>
      <c r="D214" s="4" t="s">
        <v>4</v>
      </c>
      <c r="E214" s="4" t="s">
        <v>20</v>
      </c>
      <c r="F214" s="6">
        <v>0.39</v>
      </c>
      <c r="G214" s="4">
        <v>3</v>
      </c>
      <c r="H214" s="2">
        <v>190922</v>
      </c>
      <c r="I214" s="4" t="s">
        <v>2</v>
      </c>
      <c r="J214" s="4" t="s">
        <v>1</v>
      </c>
      <c r="K214" s="5">
        <v>43793</v>
      </c>
      <c r="L214" s="3">
        <f t="shared" ca="1" si="3"/>
        <v>4.4722222222222223</v>
      </c>
    </row>
    <row r="215" spans="1:12" x14ac:dyDescent="0.25">
      <c r="A215" s="4">
        <v>999</v>
      </c>
      <c r="B215" s="4" t="s">
        <v>240</v>
      </c>
      <c r="C215" s="4" t="s">
        <v>462</v>
      </c>
      <c r="D215" s="4" t="s">
        <v>10</v>
      </c>
      <c r="E215" s="4" t="s">
        <v>16</v>
      </c>
      <c r="F215" s="6">
        <v>0.64</v>
      </c>
      <c r="G215" s="4">
        <v>2</v>
      </c>
      <c r="H215" s="2">
        <v>261979</v>
      </c>
      <c r="I215" s="4" t="s">
        <v>1</v>
      </c>
      <c r="J215" s="4" t="s">
        <v>1</v>
      </c>
      <c r="K215" s="5">
        <v>43971</v>
      </c>
      <c r="L215" s="3">
        <f t="shared" ca="1" si="3"/>
        <v>3.9833333333333334</v>
      </c>
    </row>
    <row r="216" spans="1:12" x14ac:dyDescent="0.25">
      <c r="A216" s="4">
        <v>1000</v>
      </c>
      <c r="B216" s="4" t="s">
        <v>241</v>
      </c>
      <c r="C216" s="4" t="s">
        <v>464</v>
      </c>
      <c r="D216" s="4" t="s">
        <v>10</v>
      </c>
      <c r="E216" s="4" t="s">
        <v>3</v>
      </c>
      <c r="F216" s="6">
        <v>0.45</v>
      </c>
      <c r="G216" s="4">
        <v>3</v>
      </c>
      <c r="H216" s="2">
        <v>269833</v>
      </c>
      <c r="I216" s="4" t="s">
        <v>2</v>
      </c>
      <c r="J216" s="4" t="s">
        <v>2</v>
      </c>
      <c r="K216" s="5">
        <v>43143</v>
      </c>
      <c r="L216" s="3">
        <f t="shared" ca="1" si="3"/>
        <v>6.2555555555555555</v>
      </c>
    </row>
    <row r="217" spans="1:12" x14ac:dyDescent="0.25">
      <c r="A217" s="4">
        <v>1002</v>
      </c>
      <c r="B217" s="4" t="s">
        <v>242</v>
      </c>
      <c r="C217" s="4" t="s">
        <v>457</v>
      </c>
      <c r="D217" s="4" t="s">
        <v>9</v>
      </c>
      <c r="E217" s="4" t="s">
        <v>19</v>
      </c>
      <c r="F217" s="6">
        <v>0</v>
      </c>
      <c r="G217" s="4">
        <v>0</v>
      </c>
      <c r="H217" s="2">
        <v>132381</v>
      </c>
      <c r="I217" s="4" t="s">
        <v>2</v>
      </c>
      <c r="J217" s="4" t="s">
        <v>2</v>
      </c>
      <c r="K217" s="5">
        <v>43793</v>
      </c>
      <c r="L217" s="3">
        <f t="shared" ca="1" si="3"/>
        <v>4.4722222222222223</v>
      </c>
    </row>
    <row r="218" spans="1:12" x14ac:dyDescent="0.25">
      <c r="A218" s="4">
        <v>1003</v>
      </c>
      <c r="B218" s="4" t="s">
        <v>243</v>
      </c>
      <c r="C218" s="4" t="s">
        <v>478</v>
      </c>
      <c r="D218" s="4" t="s">
        <v>9</v>
      </c>
      <c r="E218" s="4" t="s">
        <v>19</v>
      </c>
      <c r="F218" s="6">
        <v>0</v>
      </c>
      <c r="G218" s="4">
        <v>4</v>
      </c>
      <c r="H218" s="2">
        <v>120409</v>
      </c>
      <c r="I218" s="4" t="s">
        <v>2</v>
      </c>
      <c r="J218" s="4" t="s">
        <v>1</v>
      </c>
      <c r="K218" s="5">
        <v>44040</v>
      </c>
      <c r="L218" s="3">
        <f t="shared" ca="1" si="3"/>
        <v>3.7944444444444443</v>
      </c>
    </row>
    <row r="219" spans="1:12" x14ac:dyDescent="0.25">
      <c r="A219" s="4">
        <v>1004</v>
      </c>
      <c r="B219" s="4" t="s">
        <v>244</v>
      </c>
      <c r="C219" s="4" t="s">
        <v>445</v>
      </c>
      <c r="D219" s="4" t="s">
        <v>10</v>
      </c>
      <c r="E219" s="4" t="s">
        <v>3</v>
      </c>
      <c r="F219" s="6">
        <v>0.89</v>
      </c>
      <c r="G219" s="4">
        <v>2</v>
      </c>
      <c r="H219" s="2">
        <v>264373</v>
      </c>
      <c r="I219" s="4" t="s">
        <v>2</v>
      </c>
      <c r="J219" s="4" t="s">
        <v>1</v>
      </c>
      <c r="K219" s="5">
        <v>44015</v>
      </c>
      <c r="L219" s="3">
        <f t="shared" ca="1" si="3"/>
        <v>3.8638888888888889</v>
      </c>
    </row>
    <row r="220" spans="1:12" x14ac:dyDescent="0.25">
      <c r="A220" s="4">
        <v>1005</v>
      </c>
      <c r="B220" s="4" t="s">
        <v>245</v>
      </c>
      <c r="C220" s="4" t="s">
        <v>484</v>
      </c>
      <c r="D220" s="4" t="s">
        <v>9</v>
      </c>
      <c r="E220" s="4" t="s">
        <v>16</v>
      </c>
      <c r="F220" s="6">
        <v>0.44</v>
      </c>
      <c r="G220" s="4">
        <v>2</v>
      </c>
      <c r="H220" s="2">
        <v>108516</v>
      </c>
      <c r="I220" s="4" t="s">
        <v>2</v>
      </c>
      <c r="J220" s="4" t="s">
        <v>1</v>
      </c>
      <c r="K220" s="5">
        <v>43731</v>
      </c>
      <c r="L220" s="3">
        <f t="shared" ca="1" si="3"/>
        <v>4.6416666666666666</v>
      </c>
    </row>
    <row r="221" spans="1:12" x14ac:dyDescent="0.25">
      <c r="A221" s="4">
        <v>1006</v>
      </c>
      <c r="B221" s="4" t="s">
        <v>246</v>
      </c>
      <c r="C221" s="4" t="s">
        <v>451</v>
      </c>
      <c r="D221" s="4" t="s">
        <v>4</v>
      </c>
      <c r="E221" s="4" t="s">
        <v>19</v>
      </c>
      <c r="F221" s="6">
        <v>0</v>
      </c>
      <c r="G221" s="4">
        <v>2</v>
      </c>
      <c r="H221" s="2">
        <v>198253</v>
      </c>
      <c r="I221" s="4" t="s">
        <v>2</v>
      </c>
      <c r="J221" s="4" t="s">
        <v>1</v>
      </c>
      <c r="K221" s="5">
        <v>43017</v>
      </c>
      <c r="L221" s="3">
        <f t="shared" ca="1" si="3"/>
        <v>6.5972222222222223</v>
      </c>
    </row>
    <row r="222" spans="1:12" x14ac:dyDescent="0.25">
      <c r="A222" s="4">
        <v>1007</v>
      </c>
      <c r="B222" s="4" t="s">
        <v>247</v>
      </c>
      <c r="C222" s="4" t="s">
        <v>440</v>
      </c>
      <c r="D222" s="4" t="s">
        <v>9</v>
      </c>
      <c r="E222" s="4" t="s">
        <v>21</v>
      </c>
      <c r="F222" s="6">
        <v>0.67</v>
      </c>
      <c r="G222" s="4">
        <v>1</v>
      </c>
      <c r="H222" s="2">
        <v>120724</v>
      </c>
      <c r="I222" s="4" t="s">
        <v>2</v>
      </c>
      <c r="J222" s="4" t="s">
        <v>1</v>
      </c>
      <c r="K222" s="5">
        <v>43181</v>
      </c>
      <c r="L222" s="3">
        <f t="shared" ca="1" si="3"/>
        <v>6.1444444444444448</v>
      </c>
    </row>
    <row r="223" spans="1:12" x14ac:dyDescent="0.25">
      <c r="A223" s="4">
        <v>1008</v>
      </c>
      <c r="B223" s="4" t="s">
        <v>248</v>
      </c>
      <c r="C223" s="4" t="s">
        <v>472</v>
      </c>
      <c r="D223" s="4" t="s">
        <v>8</v>
      </c>
      <c r="E223" s="4" t="s">
        <v>17</v>
      </c>
      <c r="F223" s="6">
        <v>0.2</v>
      </c>
      <c r="G223" s="4">
        <v>0</v>
      </c>
      <c r="H223" s="2">
        <v>99424</v>
      </c>
      <c r="I223" s="4" t="s">
        <v>2</v>
      </c>
      <c r="J223" s="4" t="s">
        <v>2</v>
      </c>
      <c r="K223" s="5">
        <v>43076</v>
      </c>
      <c r="L223" s="3">
        <f t="shared" ca="1" si="3"/>
        <v>6.4361111111111109</v>
      </c>
    </row>
    <row r="224" spans="1:12" x14ac:dyDescent="0.25">
      <c r="A224" s="4">
        <v>1009</v>
      </c>
      <c r="B224" s="4" t="s">
        <v>249</v>
      </c>
      <c r="C224" s="4" t="s">
        <v>463</v>
      </c>
      <c r="D224" s="4" t="s">
        <v>4</v>
      </c>
      <c r="E224" s="4" t="s">
        <v>19</v>
      </c>
      <c r="F224" s="6">
        <v>0</v>
      </c>
      <c r="G224" s="4">
        <v>3</v>
      </c>
      <c r="H224" s="2">
        <v>187600</v>
      </c>
      <c r="I224" s="4" t="s">
        <v>2</v>
      </c>
      <c r="J224" s="4" t="s">
        <v>1</v>
      </c>
      <c r="K224" s="5">
        <v>43673</v>
      </c>
      <c r="L224" s="3">
        <f t="shared" ca="1" si="3"/>
        <v>4.7972222222222225</v>
      </c>
    </row>
    <row r="225" spans="1:12" x14ac:dyDescent="0.25">
      <c r="A225" s="4">
        <v>1011</v>
      </c>
      <c r="B225" s="4" t="s">
        <v>250</v>
      </c>
      <c r="C225" s="4" t="s">
        <v>470</v>
      </c>
      <c r="D225" s="4" t="s">
        <v>14</v>
      </c>
      <c r="E225" s="4" t="s">
        <v>17</v>
      </c>
      <c r="F225" s="6">
        <v>0.72</v>
      </c>
      <c r="G225" s="4">
        <v>5</v>
      </c>
      <c r="H225" s="2">
        <v>231996</v>
      </c>
      <c r="I225" s="4" t="s">
        <v>2</v>
      </c>
      <c r="J225" s="4" t="s">
        <v>1</v>
      </c>
      <c r="K225" s="5">
        <v>44034</v>
      </c>
      <c r="L225" s="3">
        <f t="shared" ca="1" si="3"/>
        <v>3.8111111111111109</v>
      </c>
    </row>
    <row r="226" spans="1:12" x14ac:dyDescent="0.25">
      <c r="A226" s="4">
        <v>1012</v>
      </c>
      <c r="B226" s="4" t="s">
        <v>251</v>
      </c>
      <c r="C226" s="4" t="s">
        <v>442</v>
      </c>
      <c r="D226" s="4" t="s">
        <v>9</v>
      </c>
      <c r="E226" s="4" t="s">
        <v>3</v>
      </c>
      <c r="F226" s="6">
        <v>0.53</v>
      </c>
      <c r="G226" s="4">
        <v>1</v>
      </c>
      <c r="H226" s="2">
        <v>147128</v>
      </c>
      <c r="I226" s="4" t="s">
        <v>2</v>
      </c>
      <c r="J226" s="4" t="s">
        <v>1</v>
      </c>
      <c r="K226" s="5">
        <v>43109</v>
      </c>
      <c r="L226" s="3">
        <f t="shared" ca="1" si="3"/>
        <v>6.3472222222222223</v>
      </c>
    </row>
    <row r="227" spans="1:12" x14ac:dyDescent="0.25">
      <c r="A227" s="4">
        <v>1013</v>
      </c>
      <c r="B227" s="4" t="s">
        <v>252</v>
      </c>
      <c r="C227" s="4" t="s">
        <v>438</v>
      </c>
      <c r="D227" s="4" t="s">
        <v>10</v>
      </c>
      <c r="E227" s="4" t="s">
        <v>20</v>
      </c>
      <c r="F227" s="6">
        <v>0.9</v>
      </c>
      <c r="G227" s="4">
        <v>5</v>
      </c>
      <c r="H227" s="2">
        <v>273913</v>
      </c>
      <c r="I227" s="4" t="s">
        <v>2</v>
      </c>
      <c r="J227" s="4" t="s">
        <v>1</v>
      </c>
      <c r="K227" s="5">
        <v>42863</v>
      </c>
      <c r="L227" s="3">
        <f t="shared" ca="1" si="3"/>
        <v>7.0166666666666666</v>
      </c>
    </row>
    <row r="228" spans="1:12" x14ac:dyDescent="0.25">
      <c r="A228" s="4">
        <v>1014</v>
      </c>
      <c r="B228" s="4" t="s">
        <v>253</v>
      </c>
      <c r="C228" s="4" t="s">
        <v>455</v>
      </c>
      <c r="D228" s="4" t="s">
        <v>14</v>
      </c>
      <c r="E228" s="4" t="s">
        <v>15</v>
      </c>
      <c r="F228" s="6">
        <v>0.88</v>
      </c>
      <c r="G228" s="4">
        <v>3</v>
      </c>
      <c r="H228" s="2">
        <v>249296</v>
      </c>
      <c r="I228" s="4" t="s">
        <v>2</v>
      </c>
      <c r="J228" s="4" t="s">
        <v>1</v>
      </c>
      <c r="K228" s="5">
        <v>43070</v>
      </c>
      <c r="L228" s="3">
        <f t="shared" ca="1" si="3"/>
        <v>6.4527777777777775</v>
      </c>
    </row>
    <row r="229" spans="1:12" x14ac:dyDescent="0.25">
      <c r="A229" s="4">
        <v>1015</v>
      </c>
      <c r="B229" s="4" t="s">
        <v>254</v>
      </c>
      <c r="C229" s="4" t="s">
        <v>453</v>
      </c>
      <c r="D229" s="4" t="s">
        <v>9</v>
      </c>
      <c r="E229" s="4" t="s">
        <v>21</v>
      </c>
      <c r="F229" s="6">
        <v>0.63</v>
      </c>
      <c r="G229" s="4">
        <v>4</v>
      </c>
      <c r="H229" s="2">
        <v>112097</v>
      </c>
      <c r="I229" s="4" t="s">
        <v>2</v>
      </c>
      <c r="J229" s="4" t="s">
        <v>1</v>
      </c>
      <c r="K229" s="5">
        <v>43716</v>
      </c>
      <c r="L229" s="3">
        <f t="shared" ca="1" si="3"/>
        <v>4.6833333333333336</v>
      </c>
    </row>
    <row r="230" spans="1:12" x14ac:dyDescent="0.25">
      <c r="A230" s="4">
        <v>1016</v>
      </c>
      <c r="B230" s="4" t="s">
        <v>255</v>
      </c>
      <c r="C230" s="4" t="s">
        <v>483</v>
      </c>
      <c r="D230" s="4" t="s">
        <v>14</v>
      </c>
      <c r="E230" s="4" t="s">
        <v>17</v>
      </c>
      <c r="F230" s="6">
        <v>0.75</v>
      </c>
      <c r="G230" s="4">
        <v>2</v>
      </c>
      <c r="H230" s="2">
        <v>238998</v>
      </c>
      <c r="I230" s="4" t="s">
        <v>2</v>
      </c>
      <c r="J230" s="4" t="s">
        <v>1</v>
      </c>
      <c r="K230" s="5">
        <v>43306</v>
      </c>
      <c r="L230" s="3">
        <f t="shared" ca="1" si="3"/>
        <v>5.802777777777778</v>
      </c>
    </row>
    <row r="231" spans="1:12" x14ac:dyDescent="0.25">
      <c r="A231" s="4">
        <v>1017</v>
      </c>
      <c r="B231" s="4" t="s">
        <v>256</v>
      </c>
      <c r="C231" s="4" t="s">
        <v>479</v>
      </c>
      <c r="D231" s="4" t="s">
        <v>14</v>
      </c>
      <c r="E231" s="4" t="s">
        <v>20</v>
      </c>
      <c r="F231" s="6">
        <v>0.57999999999999996</v>
      </c>
      <c r="G231" s="4">
        <v>4</v>
      </c>
      <c r="H231" s="2">
        <v>247315</v>
      </c>
      <c r="I231" s="4" t="s">
        <v>2</v>
      </c>
      <c r="J231" s="4" t="s">
        <v>1</v>
      </c>
      <c r="K231" s="5">
        <v>42877</v>
      </c>
      <c r="L231" s="3">
        <f t="shared" ca="1" si="3"/>
        <v>6.9777777777777779</v>
      </c>
    </row>
    <row r="232" spans="1:12" x14ac:dyDescent="0.25">
      <c r="A232" s="4">
        <v>1018</v>
      </c>
      <c r="B232" s="4" t="s">
        <v>257</v>
      </c>
      <c r="C232" s="4" t="s">
        <v>473</v>
      </c>
      <c r="D232" s="4" t="s">
        <v>4</v>
      </c>
      <c r="E232" s="4" t="s">
        <v>15</v>
      </c>
      <c r="F232" s="6">
        <v>0.35</v>
      </c>
      <c r="G232" s="4">
        <v>5</v>
      </c>
      <c r="H232" s="2">
        <v>186636</v>
      </c>
      <c r="I232" s="4" t="s">
        <v>2</v>
      </c>
      <c r="J232" s="4" t="s">
        <v>1</v>
      </c>
      <c r="K232" s="5">
        <v>43719</v>
      </c>
      <c r="L232" s="3">
        <f t="shared" ca="1" si="3"/>
        <v>4.6749999999999998</v>
      </c>
    </row>
    <row r="233" spans="1:12" x14ac:dyDescent="0.25">
      <c r="A233" s="4">
        <v>1019</v>
      </c>
      <c r="B233" s="4" t="s">
        <v>258</v>
      </c>
      <c r="C233" s="4" t="s">
        <v>460</v>
      </c>
      <c r="D233" s="4" t="s">
        <v>10</v>
      </c>
      <c r="E233" s="4" t="s">
        <v>17</v>
      </c>
      <c r="F233" s="6">
        <v>0.83</v>
      </c>
      <c r="G233" s="4">
        <v>3</v>
      </c>
      <c r="H233" s="2">
        <v>271166</v>
      </c>
      <c r="I233" s="4" t="s">
        <v>2</v>
      </c>
      <c r="J233" s="4" t="s">
        <v>2</v>
      </c>
      <c r="K233" s="5">
        <v>43873</v>
      </c>
      <c r="L233" s="3">
        <f t="shared" ca="1" si="3"/>
        <v>4.2555555555555555</v>
      </c>
    </row>
    <row r="234" spans="1:12" x14ac:dyDescent="0.25">
      <c r="A234" s="4">
        <v>1020</v>
      </c>
      <c r="B234" s="4" t="s">
        <v>259</v>
      </c>
      <c r="C234" s="4" t="s">
        <v>436</v>
      </c>
      <c r="D234" s="4" t="s">
        <v>9</v>
      </c>
      <c r="E234" s="4" t="s">
        <v>16</v>
      </c>
      <c r="F234" s="6">
        <v>0.31</v>
      </c>
      <c r="G234" s="4">
        <v>4</v>
      </c>
      <c r="H234" s="2">
        <v>132843</v>
      </c>
      <c r="I234" s="4" t="s">
        <v>2</v>
      </c>
      <c r="J234" s="4" t="s">
        <v>1</v>
      </c>
      <c r="K234" s="5">
        <v>43610</v>
      </c>
      <c r="L234" s="3">
        <f t="shared" ca="1" si="3"/>
        <v>4.9694444444444441</v>
      </c>
    </row>
    <row r="235" spans="1:12" x14ac:dyDescent="0.25">
      <c r="A235" s="4">
        <v>1022</v>
      </c>
      <c r="B235" s="4" t="s">
        <v>260</v>
      </c>
      <c r="C235" s="4" t="s">
        <v>456</v>
      </c>
      <c r="D235" s="4" t="s">
        <v>8</v>
      </c>
      <c r="E235" s="4" t="s">
        <v>21</v>
      </c>
      <c r="F235" s="6">
        <v>0.56000000000000005</v>
      </c>
      <c r="G235" s="4">
        <v>2</v>
      </c>
      <c r="H235" s="2">
        <v>98418</v>
      </c>
      <c r="I235" s="4" t="s">
        <v>2</v>
      </c>
      <c r="J235" s="4" t="s">
        <v>1</v>
      </c>
      <c r="K235" s="5">
        <v>43509</v>
      </c>
      <c r="L235" s="3">
        <f t="shared" ca="1" si="3"/>
        <v>5.2527777777777782</v>
      </c>
    </row>
    <row r="236" spans="1:12" x14ac:dyDescent="0.25">
      <c r="A236" s="4">
        <v>1023</v>
      </c>
      <c r="B236" s="4" t="s">
        <v>261</v>
      </c>
      <c r="C236" s="4" t="s">
        <v>441</v>
      </c>
      <c r="D236" s="4" t="s">
        <v>14</v>
      </c>
      <c r="E236" s="4" t="s">
        <v>15</v>
      </c>
      <c r="F236" s="6">
        <v>0.26</v>
      </c>
      <c r="G236" s="4">
        <v>3</v>
      </c>
      <c r="H236" s="2">
        <v>232862</v>
      </c>
      <c r="I236" s="4" t="s">
        <v>2</v>
      </c>
      <c r="J236" s="4" t="s">
        <v>2</v>
      </c>
      <c r="K236" s="5">
        <v>43662</v>
      </c>
      <c r="L236" s="3">
        <f t="shared" ca="1" si="3"/>
        <v>4.8277777777777775</v>
      </c>
    </row>
    <row r="237" spans="1:12" x14ac:dyDescent="0.25">
      <c r="A237" s="4">
        <v>1026</v>
      </c>
      <c r="B237" s="4" t="s">
        <v>262</v>
      </c>
      <c r="C237" s="4" t="s">
        <v>452</v>
      </c>
      <c r="D237" s="4" t="s">
        <v>14</v>
      </c>
      <c r="E237" s="4" t="s">
        <v>19</v>
      </c>
      <c r="F237" s="6">
        <v>0</v>
      </c>
      <c r="G237" s="4">
        <v>0</v>
      </c>
      <c r="H237" s="2">
        <v>246617</v>
      </c>
      <c r="I237" s="4" t="s">
        <v>2</v>
      </c>
      <c r="J237" s="4" t="s">
        <v>2</v>
      </c>
      <c r="K237" s="5">
        <v>43162</v>
      </c>
      <c r="L237" s="3">
        <f t="shared" ca="1" si="3"/>
        <v>6.197222222222222</v>
      </c>
    </row>
    <row r="238" spans="1:12" x14ac:dyDescent="0.25">
      <c r="A238" s="4">
        <v>1027</v>
      </c>
      <c r="B238" s="4" t="s">
        <v>263</v>
      </c>
      <c r="C238" s="4" t="s">
        <v>444</v>
      </c>
      <c r="D238" s="4" t="s">
        <v>10</v>
      </c>
      <c r="E238" s="4" t="s">
        <v>18</v>
      </c>
      <c r="F238" s="6">
        <v>0.34</v>
      </c>
      <c r="G238" s="4">
        <v>5</v>
      </c>
      <c r="H238" s="2">
        <v>272467</v>
      </c>
      <c r="I238" s="4" t="s">
        <v>2</v>
      </c>
      <c r="J238" s="4" t="s">
        <v>1</v>
      </c>
      <c r="K238" s="5">
        <v>43828</v>
      </c>
      <c r="L238" s="3">
        <f t="shared" ca="1" si="3"/>
        <v>4.375</v>
      </c>
    </row>
    <row r="239" spans="1:12" x14ac:dyDescent="0.25">
      <c r="A239" s="4">
        <v>1028</v>
      </c>
      <c r="B239" s="4" t="s">
        <v>264</v>
      </c>
      <c r="C239" s="4" t="s">
        <v>465</v>
      </c>
      <c r="D239" s="4" t="s">
        <v>9</v>
      </c>
      <c r="E239" s="4" t="s">
        <v>19</v>
      </c>
      <c r="F239" s="6">
        <v>0</v>
      </c>
      <c r="G239" s="4">
        <v>0</v>
      </c>
      <c r="H239" s="2">
        <v>104031</v>
      </c>
      <c r="I239" s="4" t="s">
        <v>2</v>
      </c>
      <c r="J239" s="4" t="s">
        <v>2</v>
      </c>
      <c r="K239" s="5">
        <v>43049</v>
      </c>
      <c r="L239" s="3">
        <f t="shared" ca="1" si="3"/>
        <v>6.5111111111111111</v>
      </c>
    </row>
    <row r="240" spans="1:12" x14ac:dyDescent="0.25">
      <c r="A240" s="4">
        <v>1029</v>
      </c>
      <c r="B240" s="4" t="s">
        <v>190</v>
      </c>
      <c r="C240" s="4" t="s">
        <v>476</v>
      </c>
      <c r="D240" s="4" t="s">
        <v>9</v>
      </c>
      <c r="E240" s="4" t="s">
        <v>19</v>
      </c>
      <c r="F240" s="6">
        <v>0</v>
      </c>
      <c r="G240" s="4">
        <v>0</v>
      </c>
      <c r="H240" s="2">
        <v>138831</v>
      </c>
      <c r="I240" s="4" t="s">
        <v>2</v>
      </c>
      <c r="J240" s="4" t="s">
        <v>2</v>
      </c>
      <c r="K240" s="5">
        <v>43848</v>
      </c>
      <c r="L240" s="3">
        <f t="shared" ca="1" si="3"/>
        <v>4.322222222222222</v>
      </c>
    </row>
    <row r="241" spans="1:12" x14ac:dyDescent="0.25">
      <c r="A241" s="4">
        <v>1030</v>
      </c>
      <c r="B241" s="4" t="s">
        <v>265</v>
      </c>
      <c r="C241" s="4" t="s">
        <v>470</v>
      </c>
      <c r="D241" s="4" t="s">
        <v>14</v>
      </c>
      <c r="E241" s="4" t="s">
        <v>15</v>
      </c>
      <c r="F241" s="6">
        <v>0.43</v>
      </c>
      <c r="G241" s="4">
        <v>3</v>
      </c>
      <c r="H241" s="2">
        <v>248358</v>
      </c>
      <c r="I241" s="4" t="s">
        <v>2</v>
      </c>
      <c r="J241" s="4" t="s">
        <v>2</v>
      </c>
      <c r="K241" s="5">
        <v>42974</v>
      </c>
      <c r="L241" s="3">
        <f t="shared" ca="1" si="3"/>
        <v>6.7138888888888886</v>
      </c>
    </row>
    <row r="242" spans="1:12" x14ac:dyDescent="0.25">
      <c r="A242" s="4">
        <v>1031</v>
      </c>
      <c r="B242" s="4" t="s">
        <v>266</v>
      </c>
      <c r="C242" s="4" t="s">
        <v>448</v>
      </c>
      <c r="D242" s="4" t="s">
        <v>9</v>
      </c>
      <c r="E242" s="4" t="s">
        <v>17</v>
      </c>
      <c r="F242" s="6">
        <v>0.34</v>
      </c>
      <c r="G242" s="4">
        <v>1</v>
      </c>
      <c r="H242" s="2">
        <v>116805</v>
      </c>
      <c r="I242" s="4" t="s">
        <v>2</v>
      </c>
      <c r="J242" s="4" t="s">
        <v>2</v>
      </c>
      <c r="K242" s="5">
        <v>43838</v>
      </c>
      <c r="L242" s="3">
        <f t="shared" ca="1" si="3"/>
        <v>4.3499999999999996</v>
      </c>
    </row>
    <row r="243" spans="1:12" x14ac:dyDescent="0.25">
      <c r="A243" s="4">
        <v>1032</v>
      </c>
      <c r="B243" s="4" t="s">
        <v>172</v>
      </c>
      <c r="C243" s="4" t="s">
        <v>451</v>
      </c>
      <c r="D243" s="4" t="s">
        <v>8</v>
      </c>
      <c r="E243" s="4" t="s">
        <v>16</v>
      </c>
      <c r="F243" s="6">
        <v>0.5</v>
      </c>
      <c r="G243" s="4">
        <v>1</v>
      </c>
      <c r="H243" s="2">
        <v>92007</v>
      </c>
      <c r="I243" s="4" t="s">
        <v>2</v>
      </c>
      <c r="J243" s="4" t="s">
        <v>2</v>
      </c>
      <c r="K243" s="5">
        <v>43929</v>
      </c>
      <c r="L243" s="3">
        <f t="shared" ca="1" si="3"/>
        <v>4.0999999999999996</v>
      </c>
    </row>
    <row r="244" spans="1:12" x14ac:dyDescent="0.25">
      <c r="A244" s="4">
        <v>1033</v>
      </c>
      <c r="B244" s="4" t="s">
        <v>267</v>
      </c>
      <c r="C244" s="4" t="s">
        <v>441</v>
      </c>
      <c r="D244" s="4" t="s">
        <v>10</v>
      </c>
      <c r="E244" s="4" t="s">
        <v>20</v>
      </c>
      <c r="F244" s="6">
        <v>0.76</v>
      </c>
      <c r="G244" s="4">
        <v>1</v>
      </c>
      <c r="H244" s="2">
        <v>270410</v>
      </c>
      <c r="I244" s="4" t="s">
        <v>2</v>
      </c>
      <c r="J244" s="4" t="s">
        <v>1</v>
      </c>
      <c r="K244" s="5">
        <v>43961</v>
      </c>
      <c r="L244" s="3">
        <f t="shared" ca="1" si="3"/>
        <v>4.0111111111111111</v>
      </c>
    </row>
    <row r="245" spans="1:12" x14ac:dyDescent="0.25">
      <c r="A245" s="4">
        <v>1034</v>
      </c>
      <c r="B245" s="4" t="s">
        <v>268</v>
      </c>
      <c r="C245" s="4" t="s">
        <v>450</v>
      </c>
      <c r="D245" s="4" t="s">
        <v>4</v>
      </c>
      <c r="E245" s="4" t="s">
        <v>21</v>
      </c>
      <c r="F245" s="6">
        <v>0.81</v>
      </c>
      <c r="G245" s="4">
        <v>3</v>
      </c>
      <c r="H245" s="2">
        <v>181194</v>
      </c>
      <c r="I245" s="4" t="s">
        <v>2</v>
      </c>
      <c r="J245" s="4" t="s">
        <v>1</v>
      </c>
      <c r="K245" s="5">
        <v>43481</v>
      </c>
      <c r="L245" s="3">
        <f t="shared" ca="1" si="3"/>
        <v>5.3277777777777775</v>
      </c>
    </row>
    <row r="246" spans="1:12" x14ac:dyDescent="0.25">
      <c r="A246" s="4">
        <v>1035</v>
      </c>
      <c r="B246" s="4" t="s">
        <v>269</v>
      </c>
      <c r="C246" s="4" t="s">
        <v>480</v>
      </c>
      <c r="D246" s="4" t="s">
        <v>9</v>
      </c>
      <c r="E246" s="4" t="s">
        <v>18</v>
      </c>
      <c r="F246" s="6">
        <v>0.53</v>
      </c>
      <c r="G246" s="4">
        <v>3</v>
      </c>
      <c r="H246" s="2">
        <v>128048</v>
      </c>
      <c r="I246" s="4" t="s">
        <v>2</v>
      </c>
      <c r="J246" s="4" t="s">
        <v>2</v>
      </c>
      <c r="K246" s="5">
        <v>42938</v>
      </c>
      <c r="L246" s="3">
        <f t="shared" ca="1" si="3"/>
        <v>6.8111111111111109</v>
      </c>
    </row>
    <row r="247" spans="1:12" x14ac:dyDescent="0.25">
      <c r="A247" s="4">
        <v>1036</v>
      </c>
      <c r="B247" s="4" t="s">
        <v>270</v>
      </c>
      <c r="C247" s="4" t="s">
        <v>478</v>
      </c>
      <c r="D247" s="4" t="s">
        <v>4</v>
      </c>
      <c r="E247" s="4" t="s">
        <v>16</v>
      </c>
      <c r="F247" s="6">
        <v>0.74</v>
      </c>
      <c r="G247" s="4">
        <v>2</v>
      </c>
      <c r="H247" s="2">
        <v>197767</v>
      </c>
      <c r="I247" s="4" t="s">
        <v>2</v>
      </c>
      <c r="J247" s="4" t="s">
        <v>2</v>
      </c>
      <c r="K247" s="5">
        <v>43942</v>
      </c>
      <c r="L247" s="3">
        <f t="shared" ca="1" si="3"/>
        <v>4.0638888888888891</v>
      </c>
    </row>
    <row r="248" spans="1:12" x14ac:dyDescent="0.25">
      <c r="A248" s="4">
        <v>1037</v>
      </c>
      <c r="B248" s="4" t="s">
        <v>271</v>
      </c>
      <c r="C248" s="4" t="s">
        <v>467</v>
      </c>
      <c r="D248" s="4" t="s">
        <v>4</v>
      </c>
      <c r="E248" s="4" t="s">
        <v>21</v>
      </c>
      <c r="F248" s="6">
        <v>0.88</v>
      </c>
      <c r="G248" s="4">
        <v>1</v>
      </c>
      <c r="H248" s="2">
        <v>192532</v>
      </c>
      <c r="I248" s="4" t="s">
        <v>2</v>
      </c>
      <c r="J248" s="4" t="s">
        <v>2</v>
      </c>
      <c r="K248" s="5">
        <v>44034</v>
      </c>
      <c r="L248" s="3">
        <f t="shared" ca="1" si="3"/>
        <v>3.8111111111111109</v>
      </c>
    </row>
    <row r="249" spans="1:12" x14ac:dyDescent="0.25">
      <c r="A249" s="4">
        <v>1038</v>
      </c>
      <c r="B249" s="4" t="s">
        <v>272</v>
      </c>
      <c r="C249" s="4" t="s">
        <v>444</v>
      </c>
      <c r="D249" s="4" t="s">
        <v>8</v>
      </c>
      <c r="E249" s="4" t="s">
        <v>15</v>
      </c>
      <c r="F249" s="6">
        <v>0.31</v>
      </c>
      <c r="G249" s="4">
        <v>0</v>
      </c>
      <c r="H249" s="2">
        <v>69003</v>
      </c>
      <c r="I249" s="4" t="s">
        <v>2</v>
      </c>
      <c r="J249" s="4" t="s">
        <v>1</v>
      </c>
      <c r="K249" s="5">
        <v>43198</v>
      </c>
      <c r="L249" s="3">
        <f t="shared" ca="1" si="3"/>
        <v>6.1</v>
      </c>
    </row>
    <row r="250" spans="1:12" x14ac:dyDescent="0.25">
      <c r="A250" s="4">
        <v>1039</v>
      </c>
      <c r="B250" s="4" t="s">
        <v>273</v>
      </c>
      <c r="C250" s="4" t="s">
        <v>481</v>
      </c>
      <c r="D250" s="4" t="s">
        <v>10</v>
      </c>
      <c r="E250" s="4" t="s">
        <v>15</v>
      </c>
      <c r="F250" s="6">
        <v>0.5</v>
      </c>
      <c r="G250" s="4">
        <v>4</v>
      </c>
      <c r="H250" s="2">
        <v>274149</v>
      </c>
      <c r="I250" s="4" t="s">
        <v>2</v>
      </c>
      <c r="J250" s="4" t="s">
        <v>1</v>
      </c>
      <c r="K250" s="5">
        <v>43976</v>
      </c>
      <c r="L250" s="3">
        <f t="shared" ca="1" si="3"/>
        <v>3.9694444444444446</v>
      </c>
    </row>
    <row r="251" spans="1:12" x14ac:dyDescent="0.25">
      <c r="A251" s="4">
        <v>1040</v>
      </c>
      <c r="B251" s="4" t="s">
        <v>274</v>
      </c>
      <c r="C251" s="4" t="s">
        <v>479</v>
      </c>
      <c r="D251" s="4" t="s">
        <v>4</v>
      </c>
      <c r="E251" s="4" t="s">
        <v>15</v>
      </c>
      <c r="F251" s="6">
        <v>0.34</v>
      </c>
      <c r="G251" s="4">
        <v>0</v>
      </c>
      <c r="H251" s="2">
        <v>189527</v>
      </c>
      <c r="I251" s="4" t="s">
        <v>2</v>
      </c>
      <c r="J251" s="4" t="s">
        <v>1</v>
      </c>
      <c r="K251" s="5">
        <v>43714</v>
      </c>
      <c r="L251" s="3">
        <f t="shared" ca="1" si="3"/>
        <v>4.6888888888888891</v>
      </c>
    </row>
    <row r="252" spans="1:12" x14ac:dyDescent="0.25">
      <c r="A252" s="4">
        <v>1041</v>
      </c>
      <c r="B252" s="4" t="s">
        <v>275</v>
      </c>
      <c r="C252" s="4" t="s">
        <v>458</v>
      </c>
      <c r="D252" s="4" t="s">
        <v>4</v>
      </c>
      <c r="E252" s="4" t="s">
        <v>15</v>
      </c>
      <c r="F252" s="6">
        <v>0.65</v>
      </c>
      <c r="G252" s="4">
        <v>0</v>
      </c>
      <c r="H252" s="2">
        <v>184097</v>
      </c>
      <c r="I252" s="4" t="s">
        <v>2</v>
      </c>
      <c r="J252" s="4" t="s">
        <v>2</v>
      </c>
      <c r="K252" s="5">
        <v>43695</v>
      </c>
      <c r="L252" s="3">
        <f t="shared" ca="1" si="3"/>
        <v>4.7388888888888889</v>
      </c>
    </row>
    <row r="253" spans="1:12" x14ac:dyDescent="0.25">
      <c r="A253" s="4">
        <v>1043</v>
      </c>
      <c r="B253" s="4" t="s">
        <v>213</v>
      </c>
      <c r="C253" s="4" t="s">
        <v>449</v>
      </c>
      <c r="D253" s="4" t="s">
        <v>14</v>
      </c>
      <c r="E253" s="4" t="s">
        <v>15</v>
      </c>
      <c r="F253" s="6">
        <v>0.48</v>
      </c>
      <c r="G253" s="4">
        <v>2</v>
      </c>
      <c r="H253" s="2">
        <v>226471</v>
      </c>
      <c r="I253" s="4" t="s">
        <v>2</v>
      </c>
      <c r="J253" s="4" t="s">
        <v>1</v>
      </c>
      <c r="K253" s="5">
        <v>43493</v>
      </c>
      <c r="L253" s="3">
        <f t="shared" ca="1" si="3"/>
        <v>5.2944444444444443</v>
      </c>
    </row>
    <row r="254" spans="1:12" x14ac:dyDescent="0.25">
      <c r="A254" s="4">
        <v>1044</v>
      </c>
      <c r="B254" s="4" t="s">
        <v>276</v>
      </c>
      <c r="C254" s="4" t="s">
        <v>454</v>
      </c>
      <c r="D254" s="4" t="s">
        <v>14</v>
      </c>
      <c r="E254" s="4" t="s">
        <v>18</v>
      </c>
      <c r="F254" s="6">
        <v>0.19</v>
      </c>
      <c r="G254" s="4">
        <v>0</v>
      </c>
      <c r="H254" s="2">
        <v>226896</v>
      </c>
      <c r="I254" s="4" t="s">
        <v>2</v>
      </c>
      <c r="J254" s="4" t="s">
        <v>2</v>
      </c>
      <c r="K254" s="5">
        <v>43121</v>
      </c>
      <c r="L254" s="3">
        <f t="shared" ca="1" si="3"/>
        <v>6.3138888888888891</v>
      </c>
    </row>
    <row r="255" spans="1:12" x14ac:dyDescent="0.25">
      <c r="A255" s="4">
        <v>1045</v>
      </c>
      <c r="B255" s="4" t="s">
        <v>277</v>
      </c>
      <c r="C255" s="4" t="s">
        <v>469</v>
      </c>
      <c r="D255" s="4" t="s">
        <v>14</v>
      </c>
      <c r="E255" s="4" t="s">
        <v>19</v>
      </c>
      <c r="F255" s="6">
        <v>0</v>
      </c>
      <c r="G255" s="4">
        <v>0</v>
      </c>
      <c r="H255" s="2">
        <v>228468</v>
      </c>
      <c r="I255" s="4" t="s">
        <v>2</v>
      </c>
      <c r="J255" s="4" t="s">
        <v>1</v>
      </c>
      <c r="K255" s="5">
        <v>43378</v>
      </c>
      <c r="L255" s="3">
        <f t="shared" ca="1" si="3"/>
        <v>5.6083333333333334</v>
      </c>
    </row>
    <row r="256" spans="1:12" x14ac:dyDescent="0.25">
      <c r="A256" s="4">
        <v>1046</v>
      </c>
      <c r="B256" s="4" t="s">
        <v>278</v>
      </c>
      <c r="C256" s="4" t="s">
        <v>436</v>
      </c>
      <c r="D256" s="4" t="s">
        <v>10</v>
      </c>
      <c r="E256" s="4" t="s">
        <v>19</v>
      </c>
      <c r="F256" s="6">
        <v>0</v>
      </c>
      <c r="G256" s="4">
        <v>1</v>
      </c>
      <c r="H256" s="2">
        <v>255349</v>
      </c>
      <c r="I256" s="4" t="s">
        <v>2</v>
      </c>
      <c r="J256" s="4" t="s">
        <v>1</v>
      </c>
      <c r="K256" s="5">
        <v>43070</v>
      </c>
      <c r="L256" s="3">
        <f t="shared" ca="1" si="3"/>
        <v>6.4527777777777775</v>
      </c>
    </row>
    <row r="257" spans="1:12" x14ac:dyDescent="0.25">
      <c r="A257" s="4">
        <v>1047</v>
      </c>
      <c r="B257" s="4" t="s">
        <v>279</v>
      </c>
      <c r="C257" s="4" t="s">
        <v>440</v>
      </c>
      <c r="D257" s="4" t="s">
        <v>10</v>
      </c>
      <c r="E257" s="4" t="s">
        <v>17</v>
      </c>
      <c r="F257" s="6">
        <v>0.41</v>
      </c>
      <c r="G257" s="4">
        <v>3</v>
      </c>
      <c r="H257" s="2">
        <v>259092</v>
      </c>
      <c r="I257" s="4" t="s">
        <v>2</v>
      </c>
      <c r="J257" s="4" t="s">
        <v>2</v>
      </c>
      <c r="K257" s="5">
        <v>43154</v>
      </c>
      <c r="L257" s="3">
        <f t="shared" ca="1" si="3"/>
        <v>6.2249999999999996</v>
      </c>
    </row>
    <row r="258" spans="1:12" x14ac:dyDescent="0.25">
      <c r="A258" s="4">
        <v>1050</v>
      </c>
      <c r="B258" s="4" t="s">
        <v>280</v>
      </c>
      <c r="C258" s="4" t="s">
        <v>474</v>
      </c>
      <c r="D258" s="4" t="s">
        <v>10</v>
      </c>
      <c r="E258" s="4" t="s">
        <v>3</v>
      </c>
      <c r="F258" s="6">
        <v>0.15</v>
      </c>
      <c r="G258" s="4">
        <v>3</v>
      </c>
      <c r="H258" s="2">
        <v>256222</v>
      </c>
      <c r="I258" s="4" t="s">
        <v>1</v>
      </c>
      <c r="J258" s="4" t="s">
        <v>2</v>
      </c>
      <c r="K258" s="5">
        <v>43317</v>
      </c>
      <c r="L258" s="3">
        <f t="shared" ca="1" si="3"/>
        <v>5.7750000000000004</v>
      </c>
    </row>
    <row r="259" spans="1:12" x14ac:dyDescent="0.25">
      <c r="A259" s="4">
        <v>1051</v>
      </c>
      <c r="B259" s="4" t="s">
        <v>281</v>
      </c>
      <c r="C259" s="4" t="s">
        <v>483</v>
      </c>
      <c r="D259" s="4" t="s">
        <v>10</v>
      </c>
      <c r="E259" s="4" t="s">
        <v>17</v>
      </c>
      <c r="F259" s="6">
        <v>0.92</v>
      </c>
      <c r="G259" s="4">
        <v>0</v>
      </c>
      <c r="H259" s="2">
        <v>255216</v>
      </c>
      <c r="I259" s="4" t="s">
        <v>2</v>
      </c>
      <c r="J259" s="4" t="s">
        <v>2</v>
      </c>
      <c r="K259" s="5">
        <v>43915</v>
      </c>
      <c r="L259" s="3">
        <f t="shared" ref="L259:L322" ca="1" si="4">YEARFRAC(K259,TODAY())</f>
        <v>4.1361111111111111</v>
      </c>
    </row>
    <row r="260" spans="1:12" x14ac:dyDescent="0.25">
      <c r="A260" s="4">
        <v>1052</v>
      </c>
      <c r="B260" s="4" t="s">
        <v>282</v>
      </c>
      <c r="C260" s="4" t="s">
        <v>464</v>
      </c>
      <c r="D260" s="4" t="s">
        <v>14</v>
      </c>
      <c r="E260" s="4" t="s">
        <v>17</v>
      </c>
      <c r="F260" s="6">
        <v>0.36</v>
      </c>
      <c r="G260" s="4">
        <v>5</v>
      </c>
      <c r="H260" s="2">
        <v>246961</v>
      </c>
      <c r="I260" s="4" t="s">
        <v>2</v>
      </c>
      <c r="J260" s="4" t="s">
        <v>1</v>
      </c>
      <c r="K260" s="5">
        <v>43693</v>
      </c>
      <c r="L260" s="3">
        <f t="shared" ca="1" si="4"/>
        <v>4.7444444444444445</v>
      </c>
    </row>
    <row r="261" spans="1:12" x14ac:dyDescent="0.25">
      <c r="A261" s="4">
        <v>1053</v>
      </c>
      <c r="B261" s="4" t="s">
        <v>283</v>
      </c>
      <c r="C261" s="4" t="s">
        <v>484</v>
      </c>
      <c r="D261" s="4" t="s">
        <v>14</v>
      </c>
      <c r="E261" s="4" t="s">
        <v>3</v>
      </c>
      <c r="F261" s="6">
        <v>0.32</v>
      </c>
      <c r="G261" s="4">
        <v>1</v>
      </c>
      <c r="H261" s="2">
        <v>222150</v>
      </c>
      <c r="I261" s="4" t="s">
        <v>2</v>
      </c>
      <c r="J261" s="4" t="s">
        <v>1</v>
      </c>
      <c r="K261" s="5">
        <v>44027</v>
      </c>
      <c r="L261" s="3">
        <f t="shared" ca="1" si="4"/>
        <v>3.8305555555555557</v>
      </c>
    </row>
    <row r="262" spans="1:12" x14ac:dyDescent="0.25">
      <c r="A262" s="4">
        <v>1054</v>
      </c>
      <c r="B262" s="4" t="s">
        <v>284</v>
      </c>
      <c r="C262" s="4" t="s">
        <v>439</v>
      </c>
      <c r="D262" s="4" t="s">
        <v>9</v>
      </c>
      <c r="E262" s="4" t="s">
        <v>19</v>
      </c>
      <c r="F262" s="6">
        <v>0</v>
      </c>
      <c r="G262" s="4">
        <v>2</v>
      </c>
      <c r="H262" s="2">
        <v>125702</v>
      </c>
      <c r="I262" s="4" t="s">
        <v>2</v>
      </c>
      <c r="J262" s="4" t="s">
        <v>2</v>
      </c>
      <c r="K262" s="5">
        <v>43554</v>
      </c>
      <c r="L262" s="3">
        <f t="shared" ca="1" si="4"/>
        <v>5.1222222222222218</v>
      </c>
    </row>
    <row r="263" spans="1:12" x14ac:dyDescent="0.25">
      <c r="A263" s="4">
        <v>1055</v>
      </c>
      <c r="B263" s="4" t="s">
        <v>285</v>
      </c>
      <c r="C263" s="4" t="s">
        <v>453</v>
      </c>
      <c r="D263" s="4" t="s">
        <v>10</v>
      </c>
      <c r="E263" s="4" t="s">
        <v>18</v>
      </c>
      <c r="F263" s="6">
        <v>0.55000000000000004</v>
      </c>
      <c r="G263" s="4">
        <v>1</v>
      </c>
      <c r="H263" s="2">
        <v>260131</v>
      </c>
      <c r="I263" s="4" t="s">
        <v>1</v>
      </c>
      <c r="J263" s="4" t="s">
        <v>2</v>
      </c>
      <c r="K263" s="5">
        <v>43404</v>
      </c>
      <c r="L263" s="3">
        <f t="shared" ca="1" si="4"/>
        <v>5.5388888888888888</v>
      </c>
    </row>
    <row r="264" spans="1:12" x14ac:dyDescent="0.25">
      <c r="A264" s="4">
        <v>1057</v>
      </c>
      <c r="B264" s="4" t="s">
        <v>241</v>
      </c>
      <c r="C264" s="4" t="s">
        <v>445</v>
      </c>
      <c r="D264" s="4" t="s">
        <v>10</v>
      </c>
      <c r="E264" s="4" t="s">
        <v>19</v>
      </c>
      <c r="F264" s="6">
        <v>0</v>
      </c>
      <c r="G264" s="4">
        <v>0</v>
      </c>
      <c r="H264" s="2">
        <v>273897</v>
      </c>
      <c r="I264" s="4" t="s">
        <v>2</v>
      </c>
      <c r="J264" s="4" t="s">
        <v>1</v>
      </c>
      <c r="K264" s="5">
        <v>43099</v>
      </c>
      <c r="L264" s="3">
        <f t="shared" ca="1" si="4"/>
        <v>6.3722222222222218</v>
      </c>
    </row>
    <row r="265" spans="1:12" x14ac:dyDescent="0.25">
      <c r="A265" s="4">
        <v>1059</v>
      </c>
      <c r="B265" s="4" t="s">
        <v>286</v>
      </c>
      <c r="C265" s="4" t="s">
        <v>438</v>
      </c>
      <c r="D265" s="4" t="s">
        <v>10</v>
      </c>
      <c r="E265" s="4" t="s">
        <v>3</v>
      </c>
      <c r="F265" s="6">
        <v>0.75</v>
      </c>
      <c r="G265" s="4">
        <v>3</v>
      </c>
      <c r="H265" s="2">
        <v>263888</v>
      </c>
      <c r="I265" s="4" t="s">
        <v>2</v>
      </c>
      <c r="J265" s="4" t="s">
        <v>1</v>
      </c>
      <c r="K265" s="5">
        <v>43016</v>
      </c>
      <c r="L265" s="3">
        <f t="shared" ca="1" si="4"/>
        <v>6.6</v>
      </c>
    </row>
    <row r="266" spans="1:12" x14ac:dyDescent="0.25">
      <c r="A266" s="4">
        <v>1060</v>
      </c>
      <c r="B266" s="4" t="s">
        <v>287</v>
      </c>
      <c r="C266" s="4" t="s">
        <v>461</v>
      </c>
      <c r="D266" s="4" t="s">
        <v>9</v>
      </c>
      <c r="E266" s="4" t="s">
        <v>21</v>
      </c>
      <c r="F266" s="6">
        <v>0.6</v>
      </c>
      <c r="G266" s="4">
        <v>1</v>
      </c>
      <c r="H266" s="2">
        <v>107136</v>
      </c>
      <c r="I266" s="4" t="s">
        <v>2</v>
      </c>
      <c r="J266" s="4" t="s">
        <v>2</v>
      </c>
      <c r="K266" s="5">
        <v>43491</v>
      </c>
      <c r="L266" s="3">
        <f t="shared" ca="1" si="4"/>
        <v>5.3</v>
      </c>
    </row>
    <row r="267" spans="1:12" x14ac:dyDescent="0.25">
      <c r="A267" s="4">
        <v>1063</v>
      </c>
      <c r="B267" s="4" t="s">
        <v>288</v>
      </c>
      <c r="C267" s="4" t="s">
        <v>442</v>
      </c>
      <c r="D267" s="4" t="s">
        <v>8</v>
      </c>
      <c r="E267" s="4" t="s">
        <v>16</v>
      </c>
      <c r="F267" s="6">
        <v>0.69</v>
      </c>
      <c r="G267" s="4">
        <v>1</v>
      </c>
      <c r="H267" s="2">
        <v>77719</v>
      </c>
      <c r="I267" s="4" t="s">
        <v>2</v>
      </c>
      <c r="J267" s="4" t="s">
        <v>2</v>
      </c>
      <c r="K267" s="5">
        <v>44159</v>
      </c>
      <c r="L267" s="3">
        <f t="shared" ca="1" si="4"/>
        <v>3.4722222222222223</v>
      </c>
    </row>
    <row r="268" spans="1:12" x14ac:dyDescent="0.25">
      <c r="A268" s="4">
        <v>1064</v>
      </c>
      <c r="B268" s="4" t="s">
        <v>122</v>
      </c>
      <c r="C268" s="4" t="s">
        <v>463</v>
      </c>
      <c r="D268" s="4" t="s">
        <v>10</v>
      </c>
      <c r="E268" s="4" t="s">
        <v>19</v>
      </c>
      <c r="F268" s="6">
        <v>0</v>
      </c>
      <c r="G268" s="4">
        <v>4</v>
      </c>
      <c r="H268" s="2">
        <v>257046</v>
      </c>
      <c r="I268" s="4" t="s">
        <v>2</v>
      </c>
      <c r="J268" s="4" t="s">
        <v>1</v>
      </c>
      <c r="K268" s="5">
        <v>43580</v>
      </c>
      <c r="L268" s="3">
        <f t="shared" ca="1" si="4"/>
        <v>5.052777777777778</v>
      </c>
    </row>
    <row r="269" spans="1:12" x14ac:dyDescent="0.25">
      <c r="A269" s="4">
        <v>1066</v>
      </c>
      <c r="B269" s="4" t="s">
        <v>289</v>
      </c>
      <c r="C269" s="4" t="s">
        <v>457</v>
      </c>
      <c r="D269" s="4" t="s">
        <v>9</v>
      </c>
      <c r="E269" s="4" t="s">
        <v>16</v>
      </c>
      <c r="F269" s="6">
        <v>0.36</v>
      </c>
      <c r="G269" s="4">
        <v>3</v>
      </c>
      <c r="H269" s="2">
        <v>141272</v>
      </c>
      <c r="I269" s="4" t="s">
        <v>2</v>
      </c>
      <c r="J269" s="4" t="s">
        <v>2</v>
      </c>
      <c r="K269" s="5">
        <v>43807</v>
      </c>
      <c r="L269" s="3">
        <f t="shared" ca="1" si="4"/>
        <v>4.4333333333333336</v>
      </c>
    </row>
    <row r="270" spans="1:12" x14ac:dyDescent="0.25">
      <c r="A270" s="4">
        <v>1067</v>
      </c>
      <c r="B270" s="4" t="s">
        <v>290</v>
      </c>
      <c r="C270" s="4" t="s">
        <v>443</v>
      </c>
      <c r="D270" s="4" t="s">
        <v>4</v>
      </c>
      <c r="E270" s="4" t="s">
        <v>17</v>
      </c>
      <c r="F270" s="6">
        <v>0.82</v>
      </c>
      <c r="G270" s="4">
        <v>2</v>
      </c>
      <c r="H270" s="2">
        <v>192929</v>
      </c>
      <c r="I270" s="4" t="s">
        <v>2</v>
      </c>
      <c r="J270" s="4" t="s">
        <v>2</v>
      </c>
      <c r="K270" s="5">
        <v>42991</v>
      </c>
      <c r="L270" s="3">
        <f t="shared" ca="1" si="4"/>
        <v>6.6694444444444443</v>
      </c>
    </row>
    <row r="271" spans="1:12" x14ac:dyDescent="0.25">
      <c r="A271" s="4">
        <v>1069</v>
      </c>
      <c r="B271" s="4" t="s">
        <v>291</v>
      </c>
      <c r="C271" s="4" t="s">
        <v>452</v>
      </c>
      <c r="D271" s="4" t="s">
        <v>14</v>
      </c>
      <c r="E271" s="4" t="s">
        <v>3</v>
      </c>
      <c r="F271" s="6">
        <v>0.69</v>
      </c>
      <c r="G271" s="4">
        <v>5</v>
      </c>
      <c r="H271" s="2">
        <v>223209</v>
      </c>
      <c r="I271" s="4" t="s">
        <v>2</v>
      </c>
      <c r="J271" s="4" t="s">
        <v>1</v>
      </c>
      <c r="K271" s="5">
        <v>44098</v>
      </c>
      <c r="L271" s="3">
        <f t="shared" ca="1" si="4"/>
        <v>3.6388888888888888</v>
      </c>
    </row>
    <row r="272" spans="1:12" x14ac:dyDescent="0.25">
      <c r="A272" s="4">
        <v>1070</v>
      </c>
      <c r="B272" s="4" t="s">
        <v>292</v>
      </c>
      <c r="C272" s="4" t="s">
        <v>460</v>
      </c>
      <c r="D272" s="4" t="s">
        <v>10</v>
      </c>
      <c r="E272" s="4" t="s">
        <v>15</v>
      </c>
      <c r="F272" s="6">
        <v>0.82</v>
      </c>
      <c r="G272" s="4">
        <v>0</v>
      </c>
      <c r="H272" s="2">
        <v>274402</v>
      </c>
      <c r="I272" s="4" t="s">
        <v>1</v>
      </c>
      <c r="J272" s="4" t="s">
        <v>2</v>
      </c>
      <c r="K272" s="5">
        <v>43169</v>
      </c>
      <c r="L272" s="3">
        <f t="shared" ca="1" si="4"/>
        <v>6.177777777777778</v>
      </c>
    </row>
    <row r="273" spans="1:12" x14ac:dyDescent="0.25">
      <c r="A273" s="4">
        <v>1071</v>
      </c>
      <c r="B273" s="4" t="s">
        <v>293</v>
      </c>
      <c r="C273" s="4" t="s">
        <v>472</v>
      </c>
      <c r="D273" s="4" t="s">
        <v>14</v>
      </c>
      <c r="E273" s="4" t="s">
        <v>20</v>
      </c>
      <c r="F273" s="6">
        <v>0.99</v>
      </c>
      <c r="G273" s="4">
        <v>3</v>
      </c>
      <c r="H273" s="2">
        <v>231552</v>
      </c>
      <c r="I273" s="4" t="s">
        <v>2</v>
      </c>
      <c r="J273" s="4" t="s">
        <v>2</v>
      </c>
      <c r="K273" s="5">
        <v>43885</v>
      </c>
      <c r="L273" s="3">
        <f t="shared" ca="1" si="4"/>
        <v>4.2222222222222223</v>
      </c>
    </row>
    <row r="274" spans="1:12" x14ac:dyDescent="0.25">
      <c r="A274" s="4">
        <v>1072</v>
      </c>
      <c r="B274" s="4" t="s">
        <v>279</v>
      </c>
      <c r="C274" s="4" t="s">
        <v>482</v>
      </c>
      <c r="D274" s="4" t="s">
        <v>10</v>
      </c>
      <c r="E274" s="4" t="s">
        <v>18</v>
      </c>
      <c r="F274" s="6">
        <v>0.93</v>
      </c>
      <c r="G274" s="4">
        <v>2</v>
      </c>
      <c r="H274" s="2">
        <v>262922</v>
      </c>
      <c r="I274" s="4" t="s">
        <v>2</v>
      </c>
      <c r="J274" s="4" t="s">
        <v>1</v>
      </c>
      <c r="K274" s="5">
        <v>42915</v>
      </c>
      <c r="L274" s="3">
        <f t="shared" ca="1" si="4"/>
        <v>6.875</v>
      </c>
    </row>
    <row r="275" spans="1:12" x14ac:dyDescent="0.25">
      <c r="A275" s="4">
        <v>1073</v>
      </c>
      <c r="B275" s="4" t="s">
        <v>294</v>
      </c>
      <c r="C275" s="4" t="s">
        <v>456</v>
      </c>
      <c r="D275" s="4" t="s">
        <v>8</v>
      </c>
      <c r="E275" s="4" t="s">
        <v>20</v>
      </c>
      <c r="F275" s="6">
        <v>0.22</v>
      </c>
      <c r="G275" s="4">
        <v>0</v>
      </c>
      <c r="H275" s="2">
        <v>79003</v>
      </c>
      <c r="I275" s="4" t="s">
        <v>2</v>
      </c>
      <c r="J275" s="4" t="s">
        <v>2</v>
      </c>
      <c r="K275" s="5">
        <v>43341</v>
      </c>
      <c r="L275" s="3">
        <f t="shared" ca="1" si="4"/>
        <v>5.708333333333333</v>
      </c>
    </row>
    <row r="276" spans="1:12" x14ac:dyDescent="0.25">
      <c r="A276" s="4">
        <v>1074</v>
      </c>
      <c r="B276" s="4" t="s">
        <v>295</v>
      </c>
      <c r="C276" s="4" t="s">
        <v>475</v>
      </c>
      <c r="D276" s="4" t="s">
        <v>9</v>
      </c>
      <c r="E276" s="4" t="s">
        <v>3</v>
      </c>
      <c r="F276" s="6">
        <v>0.56000000000000005</v>
      </c>
      <c r="G276" s="4">
        <v>5</v>
      </c>
      <c r="H276" s="2">
        <v>119151</v>
      </c>
      <c r="I276" s="4" t="s">
        <v>2</v>
      </c>
      <c r="J276" s="4" t="s">
        <v>1</v>
      </c>
      <c r="K276" s="5">
        <v>43393</v>
      </c>
      <c r="L276" s="3">
        <f t="shared" ca="1" si="4"/>
        <v>5.5666666666666664</v>
      </c>
    </row>
    <row r="277" spans="1:12" x14ac:dyDescent="0.25">
      <c r="A277" s="4">
        <v>1076</v>
      </c>
      <c r="B277" s="4" t="s">
        <v>296</v>
      </c>
      <c r="C277" s="4" t="s">
        <v>477</v>
      </c>
      <c r="D277" s="4" t="s">
        <v>4</v>
      </c>
      <c r="E277" s="4" t="s">
        <v>3</v>
      </c>
      <c r="F277" s="6">
        <v>0.36</v>
      </c>
      <c r="G277" s="4">
        <v>2</v>
      </c>
      <c r="H277" s="2">
        <v>192175</v>
      </c>
      <c r="I277" s="4" t="s">
        <v>2</v>
      </c>
      <c r="J277" s="4" t="s">
        <v>2</v>
      </c>
      <c r="K277" s="5">
        <v>43317</v>
      </c>
      <c r="L277" s="3">
        <f t="shared" ca="1" si="4"/>
        <v>5.7750000000000004</v>
      </c>
    </row>
    <row r="278" spans="1:12" x14ac:dyDescent="0.25">
      <c r="A278" s="4">
        <v>1077</v>
      </c>
      <c r="B278" s="4" t="s">
        <v>264</v>
      </c>
      <c r="C278" s="4" t="s">
        <v>447</v>
      </c>
      <c r="D278" s="4" t="s">
        <v>10</v>
      </c>
      <c r="E278" s="4" t="s">
        <v>3</v>
      </c>
      <c r="F278" s="6">
        <v>0.37</v>
      </c>
      <c r="G278" s="4">
        <v>4</v>
      </c>
      <c r="H278" s="2">
        <v>251678</v>
      </c>
      <c r="I278" s="4" t="s">
        <v>2</v>
      </c>
      <c r="J278" s="4" t="s">
        <v>1</v>
      </c>
      <c r="K278" s="5">
        <v>43150</v>
      </c>
      <c r="L278" s="3">
        <f t="shared" ca="1" si="4"/>
        <v>6.2361111111111107</v>
      </c>
    </row>
    <row r="279" spans="1:12" x14ac:dyDescent="0.25">
      <c r="A279" s="4">
        <v>1079</v>
      </c>
      <c r="B279" s="4" t="s">
        <v>297</v>
      </c>
      <c r="C279" s="4" t="s">
        <v>462</v>
      </c>
      <c r="D279" s="4" t="s">
        <v>10</v>
      </c>
      <c r="E279" s="4" t="s">
        <v>20</v>
      </c>
      <c r="F279" s="6">
        <v>0.92</v>
      </c>
      <c r="G279" s="4">
        <v>0</v>
      </c>
      <c r="H279" s="2">
        <v>255296</v>
      </c>
      <c r="I279" s="4" t="s">
        <v>2</v>
      </c>
      <c r="J279" s="4" t="s">
        <v>1</v>
      </c>
      <c r="K279" s="5">
        <v>43423</v>
      </c>
      <c r="L279" s="3">
        <f t="shared" ca="1" si="4"/>
        <v>5.4861111111111107</v>
      </c>
    </row>
    <row r="280" spans="1:12" x14ac:dyDescent="0.25">
      <c r="A280" s="4">
        <v>1080</v>
      </c>
      <c r="B280" s="4" t="s">
        <v>298</v>
      </c>
      <c r="C280" s="4" t="s">
        <v>455</v>
      </c>
      <c r="D280" s="4" t="s">
        <v>14</v>
      </c>
      <c r="E280" s="4" t="s">
        <v>18</v>
      </c>
      <c r="F280" s="6">
        <v>0.87</v>
      </c>
      <c r="G280" s="4">
        <v>0</v>
      </c>
      <c r="H280" s="2">
        <v>233298</v>
      </c>
      <c r="I280" s="4" t="s">
        <v>2</v>
      </c>
      <c r="J280" s="4" t="s">
        <v>2</v>
      </c>
      <c r="K280" s="5">
        <v>44010</v>
      </c>
      <c r="L280" s="3">
        <f t="shared" ca="1" si="4"/>
        <v>3.8777777777777778</v>
      </c>
    </row>
    <row r="281" spans="1:12" x14ac:dyDescent="0.25">
      <c r="A281" s="4">
        <v>1081</v>
      </c>
      <c r="B281" s="4" t="s">
        <v>299</v>
      </c>
      <c r="C281" s="4" t="s">
        <v>446</v>
      </c>
      <c r="D281" s="4" t="s">
        <v>9</v>
      </c>
      <c r="E281" s="4" t="s">
        <v>15</v>
      </c>
      <c r="F281" s="6">
        <v>0.43</v>
      </c>
      <c r="G281" s="4">
        <v>3</v>
      </c>
      <c r="H281" s="2">
        <v>119832</v>
      </c>
      <c r="I281" s="4" t="s">
        <v>2</v>
      </c>
      <c r="J281" s="4" t="s">
        <v>2</v>
      </c>
      <c r="K281" s="5">
        <v>43873</v>
      </c>
      <c r="L281" s="3">
        <f t="shared" ca="1" si="4"/>
        <v>4.2555555555555555</v>
      </c>
    </row>
    <row r="282" spans="1:12" x14ac:dyDescent="0.25">
      <c r="A282" s="4">
        <v>1082</v>
      </c>
      <c r="B282" s="4" t="s">
        <v>32</v>
      </c>
      <c r="C282" s="4" t="s">
        <v>471</v>
      </c>
      <c r="D282" s="4" t="s">
        <v>4</v>
      </c>
      <c r="E282" s="4" t="s">
        <v>16</v>
      </c>
      <c r="F282" s="6">
        <v>0.08</v>
      </c>
      <c r="G282" s="4">
        <v>3</v>
      </c>
      <c r="H282" s="2">
        <v>206733</v>
      </c>
      <c r="I282" s="4" t="s">
        <v>2</v>
      </c>
      <c r="J282" s="4" t="s">
        <v>2</v>
      </c>
      <c r="K282" s="5">
        <v>42867</v>
      </c>
      <c r="L282" s="3">
        <f t="shared" ca="1" si="4"/>
        <v>7.0055555555555555</v>
      </c>
    </row>
    <row r="283" spans="1:12" x14ac:dyDescent="0.25">
      <c r="A283" s="4">
        <v>1083</v>
      </c>
      <c r="B283" s="4" t="s">
        <v>300</v>
      </c>
      <c r="C283" s="4" t="s">
        <v>465</v>
      </c>
      <c r="D283" s="4" t="s">
        <v>9</v>
      </c>
      <c r="E283" s="4" t="s">
        <v>17</v>
      </c>
      <c r="F283" s="6">
        <v>0.94</v>
      </c>
      <c r="G283" s="4">
        <v>3</v>
      </c>
      <c r="H283" s="2">
        <v>141062</v>
      </c>
      <c r="I283" s="4" t="s">
        <v>2</v>
      </c>
      <c r="J283" s="4" t="s">
        <v>1</v>
      </c>
      <c r="K283" s="5">
        <v>43686</v>
      </c>
      <c r="L283" s="3">
        <f t="shared" ca="1" si="4"/>
        <v>4.7638888888888893</v>
      </c>
    </row>
    <row r="284" spans="1:12" x14ac:dyDescent="0.25">
      <c r="A284" s="4">
        <v>1084</v>
      </c>
      <c r="B284" s="4" t="s">
        <v>301</v>
      </c>
      <c r="C284" s="4" t="s">
        <v>485</v>
      </c>
      <c r="D284" s="4" t="s">
        <v>9</v>
      </c>
      <c r="E284" s="4" t="s">
        <v>17</v>
      </c>
      <c r="F284" s="6">
        <v>0.51</v>
      </c>
      <c r="G284" s="4">
        <v>2</v>
      </c>
      <c r="H284" s="2">
        <v>127975</v>
      </c>
      <c r="I284" s="4" t="s">
        <v>2</v>
      </c>
      <c r="J284" s="4" t="s">
        <v>1</v>
      </c>
      <c r="K284" s="5">
        <v>43945</v>
      </c>
      <c r="L284" s="3">
        <f t="shared" ca="1" si="4"/>
        <v>4.0555555555555554</v>
      </c>
    </row>
    <row r="285" spans="1:12" x14ac:dyDescent="0.25">
      <c r="A285" s="4">
        <v>1085</v>
      </c>
      <c r="B285" s="4" t="s">
        <v>302</v>
      </c>
      <c r="C285" s="4" t="s">
        <v>473</v>
      </c>
      <c r="D285" s="4" t="s">
        <v>9</v>
      </c>
      <c r="E285" s="4" t="s">
        <v>3</v>
      </c>
      <c r="F285" s="6">
        <v>0.92</v>
      </c>
      <c r="G285" s="4">
        <v>2</v>
      </c>
      <c r="H285" s="2">
        <v>139230</v>
      </c>
      <c r="I285" s="4" t="s">
        <v>2</v>
      </c>
      <c r="J285" s="4" t="s">
        <v>2</v>
      </c>
      <c r="K285" s="5">
        <v>43578</v>
      </c>
      <c r="L285" s="3">
        <f t="shared" ca="1" si="4"/>
        <v>5.0583333333333336</v>
      </c>
    </row>
    <row r="286" spans="1:12" x14ac:dyDescent="0.25">
      <c r="A286" s="4">
        <v>1086</v>
      </c>
      <c r="B286" s="4" t="s">
        <v>88</v>
      </c>
      <c r="C286" s="4" t="s">
        <v>437</v>
      </c>
      <c r="D286" s="4" t="s">
        <v>9</v>
      </c>
      <c r="E286" s="4" t="s">
        <v>17</v>
      </c>
      <c r="F286" s="6">
        <v>0.92</v>
      </c>
      <c r="G286" s="4">
        <v>3</v>
      </c>
      <c r="H286" s="2">
        <v>139443</v>
      </c>
      <c r="I286" s="4" t="s">
        <v>2</v>
      </c>
      <c r="J286" s="4" t="s">
        <v>1</v>
      </c>
      <c r="K286" s="5">
        <v>43448</v>
      </c>
      <c r="L286" s="3">
        <f t="shared" ca="1" si="4"/>
        <v>5.416666666666667</v>
      </c>
    </row>
    <row r="287" spans="1:12" x14ac:dyDescent="0.25">
      <c r="A287" s="4">
        <v>1087</v>
      </c>
      <c r="B287" s="4" t="s">
        <v>303</v>
      </c>
      <c r="C287" s="4" t="s">
        <v>468</v>
      </c>
      <c r="D287" s="4" t="s">
        <v>9</v>
      </c>
      <c r="E287" s="4" t="s">
        <v>18</v>
      </c>
      <c r="F287" s="6">
        <v>0.73</v>
      </c>
      <c r="G287" s="4">
        <v>1</v>
      </c>
      <c r="H287" s="2">
        <v>135137</v>
      </c>
      <c r="I287" s="4" t="s">
        <v>2</v>
      </c>
      <c r="J287" s="4" t="s">
        <v>2</v>
      </c>
      <c r="K287" s="5">
        <v>43085</v>
      </c>
      <c r="L287" s="3">
        <f t="shared" ca="1" si="4"/>
        <v>6.4111111111111114</v>
      </c>
    </row>
    <row r="288" spans="1:12" x14ac:dyDescent="0.25">
      <c r="A288" s="4">
        <v>1088</v>
      </c>
      <c r="B288" s="4" t="s">
        <v>304</v>
      </c>
      <c r="C288" s="4" t="s">
        <v>459</v>
      </c>
      <c r="D288" s="4" t="s">
        <v>9</v>
      </c>
      <c r="E288" s="4" t="s">
        <v>15</v>
      </c>
      <c r="F288" s="6">
        <v>0.93</v>
      </c>
      <c r="G288" s="4">
        <v>0</v>
      </c>
      <c r="H288" s="2">
        <v>147474</v>
      </c>
      <c r="I288" s="4" t="s">
        <v>2</v>
      </c>
      <c r="J288" s="4" t="s">
        <v>2</v>
      </c>
      <c r="K288" s="5">
        <v>43962</v>
      </c>
      <c r="L288" s="3">
        <f t="shared" ca="1" si="4"/>
        <v>4.0083333333333337</v>
      </c>
    </row>
    <row r="289" spans="1:12" x14ac:dyDescent="0.25">
      <c r="A289" s="4">
        <v>1089</v>
      </c>
      <c r="B289" s="4" t="s">
        <v>305</v>
      </c>
      <c r="C289" s="4" t="s">
        <v>442</v>
      </c>
      <c r="D289" s="4" t="s">
        <v>14</v>
      </c>
      <c r="E289" s="4" t="s">
        <v>20</v>
      </c>
      <c r="F289" s="6">
        <v>0.81</v>
      </c>
      <c r="G289" s="4">
        <v>2</v>
      </c>
      <c r="H289" s="2">
        <v>234928</v>
      </c>
      <c r="I289" s="4" t="s">
        <v>2</v>
      </c>
      <c r="J289" s="4" t="s">
        <v>1</v>
      </c>
      <c r="K289" s="5">
        <v>43653</v>
      </c>
      <c r="L289" s="3">
        <f t="shared" ca="1" si="4"/>
        <v>4.8527777777777779</v>
      </c>
    </row>
    <row r="290" spans="1:12" x14ac:dyDescent="0.25">
      <c r="A290" s="4">
        <v>1090</v>
      </c>
      <c r="B290" s="4" t="s">
        <v>248</v>
      </c>
      <c r="C290" s="4" t="s">
        <v>441</v>
      </c>
      <c r="D290" s="4" t="s">
        <v>14</v>
      </c>
      <c r="E290" s="4" t="s">
        <v>18</v>
      </c>
      <c r="F290" s="6">
        <v>0.48</v>
      </c>
      <c r="G290" s="4">
        <v>2</v>
      </c>
      <c r="H290" s="2">
        <v>225108</v>
      </c>
      <c r="I290" s="4" t="s">
        <v>2</v>
      </c>
      <c r="J290" s="4" t="s">
        <v>2</v>
      </c>
      <c r="K290" s="5">
        <v>43934</v>
      </c>
      <c r="L290" s="3">
        <f t="shared" ca="1" si="4"/>
        <v>4.0861111111111112</v>
      </c>
    </row>
    <row r="291" spans="1:12" x14ac:dyDescent="0.25">
      <c r="A291" s="4">
        <v>1091</v>
      </c>
      <c r="B291" s="4" t="s">
        <v>306</v>
      </c>
      <c r="C291" s="4" t="s">
        <v>481</v>
      </c>
      <c r="D291" s="4" t="s">
        <v>8</v>
      </c>
      <c r="E291" s="4" t="s">
        <v>19</v>
      </c>
      <c r="F291" s="6">
        <v>0</v>
      </c>
      <c r="G291" s="4">
        <v>3</v>
      </c>
      <c r="H291" s="2">
        <v>64431</v>
      </c>
      <c r="I291" s="4" t="s">
        <v>2</v>
      </c>
      <c r="J291" s="4" t="s">
        <v>2</v>
      </c>
      <c r="K291" s="5">
        <v>43787</v>
      </c>
      <c r="L291" s="3">
        <f t="shared" ca="1" si="4"/>
        <v>4.4888888888888889</v>
      </c>
    </row>
    <row r="292" spans="1:12" x14ac:dyDescent="0.25">
      <c r="A292" s="4">
        <v>1092</v>
      </c>
      <c r="B292" s="4" t="s">
        <v>307</v>
      </c>
      <c r="C292" s="4" t="s">
        <v>485</v>
      </c>
      <c r="D292" s="4" t="s">
        <v>4</v>
      </c>
      <c r="E292" s="4" t="s">
        <v>17</v>
      </c>
      <c r="F292" s="6">
        <v>0.88</v>
      </c>
      <c r="G292" s="4">
        <v>2</v>
      </c>
      <c r="H292" s="2">
        <v>205063</v>
      </c>
      <c r="I292" s="4" t="s">
        <v>2</v>
      </c>
      <c r="J292" s="4" t="s">
        <v>1</v>
      </c>
      <c r="K292" s="5">
        <v>43085</v>
      </c>
      <c r="L292" s="3">
        <f t="shared" ca="1" si="4"/>
        <v>6.4111111111111114</v>
      </c>
    </row>
    <row r="293" spans="1:12" x14ac:dyDescent="0.25">
      <c r="A293" s="4">
        <v>1093</v>
      </c>
      <c r="B293" s="4" t="s">
        <v>308</v>
      </c>
      <c r="C293" s="4" t="s">
        <v>477</v>
      </c>
      <c r="D293" s="4" t="s">
        <v>10</v>
      </c>
      <c r="E293" s="4" t="s">
        <v>18</v>
      </c>
      <c r="F293" s="6">
        <v>0.96</v>
      </c>
      <c r="G293" s="4">
        <v>3</v>
      </c>
      <c r="H293" s="2">
        <v>257825</v>
      </c>
      <c r="I293" s="4" t="s">
        <v>2</v>
      </c>
      <c r="J293" s="4" t="s">
        <v>2</v>
      </c>
      <c r="K293" s="5">
        <v>44027</v>
      </c>
      <c r="L293" s="3">
        <f t="shared" ca="1" si="4"/>
        <v>3.8305555555555557</v>
      </c>
    </row>
    <row r="294" spans="1:12" x14ac:dyDescent="0.25">
      <c r="A294" s="4">
        <v>1094</v>
      </c>
      <c r="B294" s="4" t="s">
        <v>309</v>
      </c>
      <c r="C294" s="4" t="s">
        <v>472</v>
      </c>
      <c r="D294" s="4" t="s">
        <v>14</v>
      </c>
      <c r="E294" s="4" t="s">
        <v>18</v>
      </c>
      <c r="F294" s="6">
        <v>0.82</v>
      </c>
      <c r="G294" s="4">
        <v>2</v>
      </c>
      <c r="H294" s="2">
        <v>249337</v>
      </c>
      <c r="I294" s="4" t="s">
        <v>2</v>
      </c>
      <c r="J294" s="4" t="s">
        <v>2</v>
      </c>
      <c r="K294" s="5">
        <v>42955</v>
      </c>
      <c r="L294" s="3">
        <f t="shared" ca="1" si="4"/>
        <v>6.7666666666666666</v>
      </c>
    </row>
    <row r="295" spans="1:12" x14ac:dyDescent="0.25">
      <c r="A295" s="4">
        <v>1095</v>
      </c>
      <c r="B295" s="4" t="s">
        <v>310</v>
      </c>
      <c r="C295" s="4" t="s">
        <v>473</v>
      </c>
      <c r="D295" s="4" t="s">
        <v>4</v>
      </c>
      <c r="E295" s="4" t="s">
        <v>18</v>
      </c>
      <c r="F295" s="6">
        <v>0.63</v>
      </c>
      <c r="G295" s="4">
        <v>3</v>
      </c>
      <c r="H295" s="2">
        <v>181695</v>
      </c>
      <c r="I295" s="4" t="s">
        <v>2</v>
      </c>
      <c r="J295" s="4" t="s">
        <v>2</v>
      </c>
      <c r="K295" s="5">
        <v>44028</v>
      </c>
      <c r="L295" s="3">
        <f t="shared" ca="1" si="4"/>
        <v>3.8277777777777779</v>
      </c>
    </row>
    <row r="296" spans="1:12" x14ac:dyDescent="0.25">
      <c r="A296" s="4">
        <v>1097</v>
      </c>
      <c r="B296" s="4" t="s">
        <v>311</v>
      </c>
      <c r="C296" s="4" t="s">
        <v>479</v>
      </c>
      <c r="D296" s="4" t="s">
        <v>4</v>
      </c>
      <c r="E296" s="4" t="s">
        <v>20</v>
      </c>
      <c r="F296" s="6">
        <v>0.33</v>
      </c>
      <c r="G296" s="4">
        <v>0</v>
      </c>
      <c r="H296" s="2">
        <v>208889</v>
      </c>
      <c r="I296" s="4" t="s">
        <v>2</v>
      </c>
      <c r="J296" s="4" t="s">
        <v>1</v>
      </c>
      <c r="K296" s="5">
        <v>43094</v>
      </c>
      <c r="L296" s="3">
        <f t="shared" ca="1" si="4"/>
        <v>6.3861111111111111</v>
      </c>
    </row>
    <row r="297" spans="1:12" x14ac:dyDescent="0.25">
      <c r="A297" s="4">
        <v>1098</v>
      </c>
      <c r="B297" s="4" t="s">
        <v>312</v>
      </c>
      <c r="C297" s="4" t="s">
        <v>447</v>
      </c>
      <c r="D297" s="4" t="s">
        <v>14</v>
      </c>
      <c r="E297" s="4" t="s">
        <v>3</v>
      </c>
      <c r="F297" s="6">
        <v>0.98</v>
      </c>
      <c r="G297" s="4">
        <v>3</v>
      </c>
      <c r="H297" s="2">
        <v>242742</v>
      </c>
      <c r="I297" s="4" t="s">
        <v>2</v>
      </c>
      <c r="J297" s="4" t="s">
        <v>2</v>
      </c>
      <c r="K297" s="5">
        <v>43665</v>
      </c>
      <c r="L297" s="3">
        <f t="shared" ca="1" si="4"/>
        <v>4.8194444444444446</v>
      </c>
    </row>
    <row r="298" spans="1:12" x14ac:dyDescent="0.25">
      <c r="A298" s="4">
        <v>1099</v>
      </c>
      <c r="B298" s="4" t="s">
        <v>313</v>
      </c>
      <c r="C298" s="4" t="s">
        <v>480</v>
      </c>
      <c r="D298" s="4" t="s">
        <v>9</v>
      </c>
      <c r="E298" s="4" t="s">
        <v>19</v>
      </c>
      <c r="F298" s="6">
        <v>0</v>
      </c>
      <c r="G298" s="4">
        <v>1</v>
      </c>
      <c r="H298" s="2">
        <v>144804</v>
      </c>
      <c r="I298" s="4" t="s">
        <v>2</v>
      </c>
      <c r="J298" s="4" t="s">
        <v>1</v>
      </c>
      <c r="K298" s="5">
        <v>43907</v>
      </c>
      <c r="L298" s="3">
        <f t="shared" ca="1" si="4"/>
        <v>4.1583333333333332</v>
      </c>
    </row>
    <row r="299" spans="1:12" x14ac:dyDescent="0.25">
      <c r="A299" s="4">
        <v>1100</v>
      </c>
      <c r="B299" s="4" t="s">
        <v>314</v>
      </c>
      <c r="C299" s="4" t="s">
        <v>454</v>
      </c>
      <c r="D299" s="4" t="s">
        <v>9</v>
      </c>
      <c r="E299" s="4" t="s">
        <v>15</v>
      </c>
      <c r="F299" s="6">
        <v>0.87</v>
      </c>
      <c r="G299" s="4">
        <v>2</v>
      </c>
      <c r="H299" s="2">
        <v>133659</v>
      </c>
      <c r="I299" s="4" t="s">
        <v>2</v>
      </c>
      <c r="J299" s="4" t="s">
        <v>2</v>
      </c>
      <c r="K299" s="5">
        <v>43123</v>
      </c>
      <c r="L299" s="3">
        <f t="shared" ca="1" si="4"/>
        <v>6.3083333333333336</v>
      </c>
    </row>
    <row r="300" spans="1:12" x14ac:dyDescent="0.25">
      <c r="A300" s="4">
        <v>1101</v>
      </c>
      <c r="B300" s="4" t="s">
        <v>202</v>
      </c>
      <c r="C300" s="4" t="s">
        <v>459</v>
      </c>
      <c r="D300" s="4" t="s">
        <v>9</v>
      </c>
      <c r="E300" s="4" t="s">
        <v>17</v>
      </c>
      <c r="F300" s="6">
        <v>0.26</v>
      </c>
      <c r="G300" s="4">
        <v>2</v>
      </c>
      <c r="H300" s="2">
        <v>117377</v>
      </c>
      <c r="I300" s="4" t="s">
        <v>2</v>
      </c>
      <c r="J300" s="4" t="s">
        <v>2</v>
      </c>
      <c r="K300" s="5">
        <v>43186</v>
      </c>
      <c r="L300" s="3">
        <f t="shared" ca="1" si="4"/>
        <v>6.1305555555555555</v>
      </c>
    </row>
    <row r="301" spans="1:12" x14ac:dyDescent="0.25">
      <c r="A301" s="4">
        <v>1102</v>
      </c>
      <c r="B301" s="4" t="s">
        <v>315</v>
      </c>
      <c r="C301" s="4" t="s">
        <v>467</v>
      </c>
      <c r="D301" s="4" t="s">
        <v>14</v>
      </c>
      <c r="E301" s="4" t="s">
        <v>19</v>
      </c>
      <c r="F301" s="6">
        <v>0</v>
      </c>
      <c r="G301" s="4">
        <v>0</v>
      </c>
      <c r="H301" s="2">
        <v>241685</v>
      </c>
      <c r="I301" s="4" t="s">
        <v>2</v>
      </c>
      <c r="J301" s="4" t="s">
        <v>2</v>
      </c>
      <c r="K301" s="5">
        <v>43164</v>
      </c>
      <c r="L301" s="3">
        <f t="shared" ca="1" si="4"/>
        <v>6.1916666666666664</v>
      </c>
    </row>
    <row r="302" spans="1:12" x14ac:dyDescent="0.25">
      <c r="A302" s="4">
        <v>1103</v>
      </c>
      <c r="B302" s="4" t="s">
        <v>316</v>
      </c>
      <c r="C302" s="4" t="s">
        <v>458</v>
      </c>
      <c r="D302" s="4" t="s">
        <v>8</v>
      </c>
      <c r="E302" s="4" t="s">
        <v>3</v>
      </c>
      <c r="F302" s="6">
        <v>0.7</v>
      </c>
      <c r="G302" s="4">
        <v>2</v>
      </c>
      <c r="H302" s="2">
        <v>90842</v>
      </c>
      <c r="I302" s="4" t="s">
        <v>2</v>
      </c>
      <c r="J302" s="4" t="s">
        <v>1</v>
      </c>
      <c r="K302" s="5">
        <v>43140</v>
      </c>
      <c r="L302" s="3">
        <f t="shared" ca="1" si="4"/>
        <v>6.2638888888888893</v>
      </c>
    </row>
    <row r="303" spans="1:12" x14ac:dyDescent="0.25">
      <c r="A303" s="4">
        <v>1104</v>
      </c>
      <c r="B303" s="4" t="s">
        <v>317</v>
      </c>
      <c r="C303" s="4" t="s">
        <v>476</v>
      </c>
      <c r="D303" s="4" t="s">
        <v>14</v>
      </c>
      <c r="E303" s="4" t="s">
        <v>20</v>
      </c>
      <c r="F303" s="6">
        <v>0.63</v>
      </c>
      <c r="G303" s="4">
        <v>3</v>
      </c>
      <c r="H303" s="2">
        <v>239485</v>
      </c>
      <c r="I303" s="4" t="s">
        <v>2</v>
      </c>
      <c r="J303" s="4" t="s">
        <v>1</v>
      </c>
      <c r="K303" s="5">
        <v>43641</v>
      </c>
      <c r="L303" s="3">
        <f t="shared" ca="1" si="4"/>
        <v>4.8861111111111111</v>
      </c>
    </row>
    <row r="304" spans="1:12" x14ac:dyDescent="0.25">
      <c r="A304" s="4">
        <v>1105</v>
      </c>
      <c r="B304" s="4" t="s">
        <v>318</v>
      </c>
      <c r="C304" s="4" t="s">
        <v>449</v>
      </c>
      <c r="D304" s="4" t="s">
        <v>9</v>
      </c>
      <c r="E304" s="4" t="s">
        <v>17</v>
      </c>
      <c r="F304" s="6">
        <v>0.15</v>
      </c>
      <c r="G304" s="4">
        <v>0</v>
      </c>
      <c r="H304" s="2">
        <v>103571</v>
      </c>
      <c r="I304" s="4" t="s">
        <v>2</v>
      </c>
      <c r="J304" s="4" t="s">
        <v>2</v>
      </c>
      <c r="K304" s="5">
        <v>43212</v>
      </c>
      <c r="L304" s="3">
        <f t="shared" ca="1" si="4"/>
        <v>6.0611111111111109</v>
      </c>
    </row>
    <row r="305" spans="1:12" x14ac:dyDescent="0.25">
      <c r="A305" s="4">
        <v>1106</v>
      </c>
      <c r="B305" s="4" t="s">
        <v>319</v>
      </c>
      <c r="C305" s="4" t="s">
        <v>466</v>
      </c>
      <c r="D305" s="4" t="s">
        <v>14</v>
      </c>
      <c r="E305" s="4" t="s">
        <v>18</v>
      </c>
      <c r="F305" s="6">
        <v>0.6</v>
      </c>
      <c r="G305" s="4">
        <v>1</v>
      </c>
      <c r="H305" s="2">
        <v>227357</v>
      </c>
      <c r="I305" s="4" t="s">
        <v>2</v>
      </c>
      <c r="J305" s="4" t="s">
        <v>1</v>
      </c>
      <c r="K305" s="5">
        <v>43687</v>
      </c>
      <c r="L305" s="3">
        <f t="shared" ca="1" si="4"/>
        <v>4.7611111111111111</v>
      </c>
    </row>
    <row r="306" spans="1:12" x14ac:dyDescent="0.25">
      <c r="A306" s="4">
        <v>1108</v>
      </c>
      <c r="B306" s="4" t="s">
        <v>320</v>
      </c>
      <c r="C306" s="4" t="s">
        <v>462</v>
      </c>
      <c r="D306" s="4" t="s">
        <v>4</v>
      </c>
      <c r="E306" s="4" t="s">
        <v>18</v>
      </c>
      <c r="F306" s="6">
        <v>0.95</v>
      </c>
      <c r="G306" s="4">
        <v>0</v>
      </c>
      <c r="H306" s="2">
        <v>206068</v>
      </c>
      <c r="I306" s="4" t="s">
        <v>2</v>
      </c>
      <c r="J306" s="4" t="s">
        <v>2</v>
      </c>
      <c r="K306" s="5">
        <v>43322</v>
      </c>
      <c r="L306" s="3">
        <f t="shared" ca="1" si="4"/>
        <v>5.7611111111111111</v>
      </c>
    </row>
    <row r="307" spans="1:12" x14ac:dyDescent="0.25">
      <c r="A307" s="4">
        <v>1110</v>
      </c>
      <c r="B307" s="4" t="s">
        <v>321</v>
      </c>
      <c r="C307" s="4" t="s">
        <v>464</v>
      </c>
      <c r="D307" s="4" t="s">
        <v>8</v>
      </c>
      <c r="E307" s="4" t="s">
        <v>15</v>
      </c>
      <c r="F307" s="6">
        <v>0.23</v>
      </c>
      <c r="G307" s="4">
        <v>1</v>
      </c>
      <c r="H307" s="2">
        <v>75752</v>
      </c>
      <c r="I307" s="4" t="s">
        <v>2</v>
      </c>
      <c r="J307" s="4" t="s">
        <v>2</v>
      </c>
      <c r="K307" s="5">
        <v>43275</v>
      </c>
      <c r="L307" s="3">
        <f t="shared" ca="1" si="4"/>
        <v>5.8888888888888893</v>
      </c>
    </row>
    <row r="308" spans="1:12" x14ac:dyDescent="0.25">
      <c r="A308" s="4">
        <v>1111</v>
      </c>
      <c r="B308" s="4" t="s">
        <v>322</v>
      </c>
      <c r="C308" s="4" t="s">
        <v>457</v>
      </c>
      <c r="D308" s="4" t="s">
        <v>9</v>
      </c>
      <c r="E308" s="4" t="s">
        <v>3</v>
      </c>
      <c r="F308" s="6">
        <v>0.1</v>
      </c>
      <c r="G308" s="4">
        <v>2</v>
      </c>
      <c r="H308" s="2">
        <v>133416</v>
      </c>
      <c r="I308" s="4" t="s">
        <v>2</v>
      </c>
      <c r="J308" s="4" t="s">
        <v>2</v>
      </c>
      <c r="K308" s="5">
        <v>43613</v>
      </c>
      <c r="L308" s="3">
        <f t="shared" ca="1" si="4"/>
        <v>4.9611111111111112</v>
      </c>
    </row>
    <row r="309" spans="1:12" x14ac:dyDescent="0.25">
      <c r="A309" s="4">
        <v>1112</v>
      </c>
      <c r="B309" s="4" t="s">
        <v>323</v>
      </c>
      <c r="C309" s="4" t="s">
        <v>478</v>
      </c>
      <c r="D309" s="4" t="s">
        <v>14</v>
      </c>
      <c r="E309" s="4" t="s">
        <v>17</v>
      </c>
      <c r="F309" s="6">
        <v>0.7</v>
      </c>
      <c r="G309" s="4">
        <v>3</v>
      </c>
      <c r="H309" s="2">
        <v>241192</v>
      </c>
      <c r="I309" s="4" t="s">
        <v>2</v>
      </c>
      <c r="J309" s="4" t="s">
        <v>2</v>
      </c>
      <c r="K309" s="5">
        <v>42908</v>
      </c>
      <c r="L309" s="3">
        <f t="shared" ca="1" si="4"/>
        <v>6.8944444444444448</v>
      </c>
    </row>
    <row r="310" spans="1:12" x14ac:dyDescent="0.25">
      <c r="A310" s="4">
        <v>1113</v>
      </c>
      <c r="B310" s="4" t="s">
        <v>217</v>
      </c>
      <c r="C310" s="4" t="s">
        <v>445</v>
      </c>
      <c r="D310" s="4" t="s">
        <v>10</v>
      </c>
      <c r="E310" s="4" t="s">
        <v>16</v>
      </c>
      <c r="F310" s="6">
        <v>0.48</v>
      </c>
      <c r="G310" s="4">
        <v>1</v>
      </c>
      <c r="H310" s="2">
        <v>271115</v>
      </c>
      <c r="I310" s="4" t="s">
        <v>2</v>
      </c>
      <c r="J310" s="4" t="s">
        <v>1</v>
      </c>
      <c r="K310" s="5">
        <v>43401</v>
      </c>
      <c r="L310" s="3">
        <f t="shared" ca="1" si="4"/>
        <v>5.5444444444444443</v>
      </c>
    </row>
    <row r="311" spans="1:12" x14ac:dyDescent="0.25">
      <c r="A311" s="4">
        <v>1114</v>
      </c>
      <c r="B311" s="4" t="s">
        <v>324</v>
      </c>
      <c r="C311" s="4" t="s">
        <v>484</v>
      </c>
      <c r="D311" s="4" t="s">
        <v>10</v>
      </c>
      <c r="E311" s="4" t="s">
        <v>3</v>
      </c>
      <c r="F311" s="6">
        <v>0.28999999999999998</v>
      </c>
      <c r="G311" s="4">
        <v>0</v>
      </c>
      <c r="H311" s="2">
        <v>270976</v>
      </c>
      <c r="I311" s="4" t="s">
        <v>2</v>
      </c>
      <c r="J311" s="4" t="s">
        <v>2</v>
      </c>
      <c r="K311" s="5">
        <v>43584</v>
      </c>
      <c r="L311" s="3">
        <f t="shared" ca="1" si="4"/>
        <v>5.041666666666667</v>
      </c>
    </row>
    <row r="312" spans="1:12" x14ac:dyDescent="0.25">
      <c r="A312" s="4">
        <v>1115</v>
      </c>
      <c r="B312" s="4" t="s">
        <v>66</v>
      </c>
      <c r="C312" s="4" t="s">
        <v>451</v>
      </c>
      <c r="D312" s="4" t="s">
        <v>4</v>
      </c>
      <c r="E312" s="4" t="s">
        <v>20</v>
      </c>
      <c r="F312" s="6">
        <v>0.48</v>
      </c>
      <c r="G312" s="4">
        <v>5</v>
      </c>
      <c r="H312" s="2">
        <v>203355</v>
      </c>
      <c r="I312" s="4" t="s">
        <v>2</v>
      </c>
      <c r="J312" s="4" t="s">
        <v>1</v>
      </c>
      <c r="K312" s="5">
        <v>43813</v>
      </c>
      <c r="L312" s="3">
        <f t="shared" ca="1" si="4"/>
        <v>4.416666666666667</v>
      </c>
    </row>
    <row r="313" spans="1:12" x14ac:dyDescent="0.25">
      <c r="A313" s="4">
        <v>1117</v>
      </c>
      <c r="B313" s="4" t="s">
        <v>325</v>
      </c>
      <c r="C313" s="4" t="s">
        <v>440</v>
      </c>
      <c r="D313" s="4" t="s">
        <v>8</v>
      </c>
      <c r="E313" s="4" t="s">
        <v>17</v>
      </c>
      <c r="F313" s="6">
        <v>0.69</v>
      </c>
      <c r="G313" s="4">
        <v>5</v>
      </c>
      <c r="H313" s="2">
        <v>95404</v>
      </c>
      <c r="I313" s="4" t="s">
        <v>2</v>
      </c>
      <c r="J313" s="4" t="s">
        <v>1</v>
      </c>
      <c r="K313" s="5">
        <v>44055</v>
      </c>
      <c r="L313" s="3">
        <f t="shared" ca="1" si="4"/>
        <v>3.7555555555555555</v>
      </c>
    </row>
    <row r="314" spans="1:12" x14ac:dyDescent="0.25">
      <c r="A314" s="4">
        <v>1118</v>
      </c>
      <c r="B314" s="4" t="s">
        <v>326</v>
      </c>
      <c r="C314" s="4" t="s">
        <v>472</v>
      </c>
      <c r="D314" s="4" t="s">
        <v>4</v>
      </c>
      <c r="E314" s="4" t="s">
        <v>3</v>
      </c>
      <c r="F314" s="6">
        <v>0.45</v>
      </c>
      <c r="G314" s="4">
        <v>2</v>
      </c>
      <c r="H314" s="2">
        <v>202550</v>
      </c>
      <c r="I314" s="4" t="s">
        <v>2</v>
      </c>
      <c r="J314" s="4" t="s">
        <v>2</v>
      </c>
      <c r="K314" s="5">
        <v>42976</v>
      </c>
      <c r="L314" s="3">
        <f t="shared" ca="1" si="4"/>
        <v>6.708333333333333</v>
      </c>
    </row>
    <row r="315" spans="1:12" x14ac:dyDescent="0.25">
      <c r="A315" s="4">
        <v>1119</v>
      </c>
      <c r="B315" s="4" t="s">
        <v>327</v>
      </c>
      <c r="C315" s="4" t="s">
        <v>463</v>
      </c>
      <c r="D315" s="4" t="s">
        <v>10</v>
      </c>
      <c r="E315" s="4" t="s">
        <v>19</v>
      </c>
      <c r="F315" s="6">
        <v>0</v>
      </c>
      <c r="G315" s="4">
        <v>3</v>
      </c>
      <c r="H315" s="2">
        <v>274837</v>
      </c>
      <c r="I315" s="4" t="s">
        <v>2</v>
      </c>
      <c r="J315" s="4" t="s">
        <v>2</v>
      </c>
      <c r="K315" s="5">
        <v>43023</v>
      </c>
      <c r="L315" s="3">
        <f t="shared" ca="1" si="4"/>
        <v>6.5805555555555557</v>
      </c>
    </row>
    <row r="316" spans="1:12" x14ac:dyDescent="0.25">
      <c r="A316" s="4">
        <v>1120</v>
      </c>
      <c r="B316" s="4" t="s">
        <v>202</v>
      </c>
      <c r="C316" s="4" t="s">
        <v>470</v>
      </c>
      <c r="D316" s="4" t="s">
        <v>10</v>
      </c>
      <c r="E316" s="4" t="s">
        <v>3</v>
      </c>
      <c r="F316" s="6">
        <v>0.49</v>
      </c>
      <c r="G316" s="4">
        <v>3</v>
      </c>
      <c r="H316" s="2">
        <v>251696</v>
      </c>
      <c r="I316" s="4" t="s">
        <v>2</v>
      </c>
      <c r="J316" s="4" t="s">
        <v>1</v>
      </c>
      <c r="K316" s="5">
        <v>43811</v>
      </c>
      <c r="L316" s="3">
        <f t="shared" ca="1" si="4"/>
        <v>4.4222222222222225</v>
      </c>
    </row>
    <row r="317" spans="1:12" x14ac:dyDescent="0.25">
      <c r="A317" s="4">
        <v>1121</v>
      </c>
      <c r="B317" s="4" t="s">
        <v>328</v>
      </c>
      <c r="C317" s="4" t="s">
        <v>442</v>
      </c>
      <c r="D317" s="4" t="s">
        <v>14</v>
      </c>
      <c r="E317" s="4" t="s">
        <v>20</v>
      </c>
      <c r="F317" s="6">
        <v>0.48</v>
      </c>
      <c r="G317" s="4">
        <v>2</v>
      </c>
      <c r="H317" s="2">
        <v>234292</v>
      </c>
      <c r="I317" s="4" t="s">
        <v>2</v>
      </c>
      <c r="J317" s="4" t="s">
        <v>2</v>
      </c>
      <c r="K317" s="5">
        <v>43785</v>
      </c>
      <c r="L317" s="3">
        <f t="shared" ca="1" si="4"/>
        <v>4.4944444444444445</v>
      </c>
    </row>
    <row r="318" spans="1:12" x14ac:dyDescent="0.25">
      <c r="A318" s="4">
        <v>1122</v>
      </c>
      <c r="B318" s="4" t="s">
        <v>304</v>
      </c>
      <c r="C318" s="4" t="s">
        <v>438</v>
      </c>
      <c r="D318" s="4" t="s">
        <v>4</v>
      </c>
      <c r="E318" s="4" t="s">
        <v>21</v>
      </c>
      <c r="F318" s="6">
        <v>0.76</v>
      </c>
      <c r="G318" s="4">
        <v>5</v>
      </c>
      <c r="H318" s="2">
        <v>191431</v>
      </c>
      <c r="I318" s="4" t="s">
        <v>2</v>
      </c>
      <c r="J318" s="4" t="s">
        <v>1</v>
      </c>
      <c r="K318" s="5">
        <v>43310</v>
      </c>
      <c r="L318" s="3">
        <f t="shared" ca="1" si="4"/>
        <v>5.791666666666667</v>
      </c>
    </row>
    <row r="319" spans="1:12" x14ac:dyDescent="0.25">
      <c r="A319" s="4">
        <v>1123</v>
      </c>
      <c r="B319" s="4" t="s">
        <v>329</v>
      </c>
      <c r="C319" s="4" t="s">
        <v>455</v>
      </c>
      <c r="D319" s="4" t="s">
        <v>14</v>
      </c>
      <c r="E319" s="4" t="s">
        <v>21</v>
      </c>
      <c r="F319" s="6">
        <v>0.25</v>
      </c>
      <c r="G319" s="4">
        <v>0</v>
      </c>
      <c r="H319" s="2">
        <v>237922</v>
      </c>
      <c r="I319" s="4" t="s">
        <v>2</v>
      </c>
      <c r="J319" s="4" t="s">
        <v>2</v>
      </c>
      <c r="K319" s="5">
        <v>43097</v>
      </c>
      <c r="L319" s="3">
        <f t="shared" ca="1" si="4"/>
        <v>6.3777777777777782</v>
      </c>
    </row>
    <row r="320" spans="1:12" x14ac:dyDescent="0.25">
      <c r="A320" s="4">
        <v>1124</v>
      </c>
      <c r="B320" s="4" t="s">
        <v>330</v>
      </c>
      <c r="C320" s="4" t="s">
        <v>453</v>
      </c>
      <c r="D320" s="4" t="s">
        <v>10</v>
      </c>
      <c r="E320" s="4" t="s">
        <v>18</v>
      </c>
      <c r="F320" s="6">
        <v>0.48</v>
      </c>
      <c r="G320" s="4">
        <v>0</v>
      </c>
      <c r="H320" s="2">
        <v>271851</v>
      </c>
      <c r="I320" s="4" t="s">
        <v>2</v>
      </c>
      <c r="J320" s="4" t="s">
        <v>2</v>
      </c>
      <c r="K320" s="5">
        <v>43028</v>
      </c>
      <c r="L320" s="3">
        <f t="shared" ca="1" si="4"/>
        <v>6.5666666666666664</v>
      </c>
    </row>
    <row r="321" spans="1:12" x14ac:dyDescent="0.25">
      <c r="A321" s="4">
        <v>1125</v>
      </c>
      <c r="B321" s="4" t="s">
        <v>331</v>
      </c>
      <c r="C321" s="4" t="s">
        <v>483</v>
      </c>
      <c r="D321" s="4" t="s">
        <v>10</v>
      </c>
      <c r="E321" s="4" t="s">
        <v>21</v>
      </c>
      <c r="F321" s="6">
        <v>0.18</v>
      </c>
      <c r="G321" s="4">
        <v>0</v>
      </c>
      <c r="H321" s="2">
        <v>267952</v>
      </c>
      <c r="I321" s="4" t="s">
        <v>2</v>
      </c>
      <c r="J321" s="4" t="s">
        <v>2</v>
      </c>
      <c r="K321" s="5">
        <v>43385</v>
      </c>
      <c r="L321" s="3">
        <f t="shared" ca="1" si="4"/>
        <v>5.5888888888888886</v>
      </c>
    </row>
    <row r="322" spans="1:12" x14ac:dyDescent="0.25">
      <c r="A322" s="4">
        <v>1126</v>
      </c>
      <c r="B322" s="4" t="s">
        <v>332</v>
      </c>
      <c r="C322" s="4" t="s">
        <v>479</v>
      </c>
      <c r="D322" s="4" t="s">
        <v>14</v>
      </c>
      <c r="E322" s="4" t="s">
        <v>16</v>
      </c>
      <c r="F322" s="6">
        <v>0.25</v>
      </c>
      <c r="G322" s="4">
        <v>0</v>
      </c>
      <c r="H322" s="2">
        <v>239394</v>
      </c>
      <c r="I322" s="4" t="s">
        <v>2</v>
      </c>
      <c r="J322" s="4" t="s">
        <v>2</v>
      </c>
      <c r="K322" s="5">
        <v>44100</v>
      </c>
      <c r="L322" s="3">
        <f t="shared" ca="1" si="4"/>
        <v>3.6333333333333333</v>
      </c>
    </row>
    <row r="323" spans="1:12" x14ac:dyDescent="0.25">
      <c r="A323" s="4">
        <v>1127</v>
      </c>
      <c r="B323" s="4" t="s">
        <v>333</v>
      </c>
      <c r="C323" s="4" t="s">
        <v>473</v>
      </c>
      <c r="D323" s="4" t="s">
        <v>10</v>
      </c>
      <c r="E323" s="4" t="s">
        <v>19</v>
      </c>
      <c r="F323" s="6">
        <v>0</v>
      </c>
      <c r="G323" s="4">
        <v>3</v>
      </c>
      <c r="H323" s="2">
        <v>254582</v>
      </c>
      <c r="I323" s="4" t="s">
        <v>2</v>
      </c>
      <c r="J323" s="4" t="s">
        <v>2</v>
      </c>
      <c r="K323" s="5">
        <v>43821</v>
      </c>
      <c r="L323" s="3">
        <f t="shared" ref="L323:L386" ca="1" si="5">YEARFRAC(K323,TODAY())</f>
        <v>4.3944444444444448</v>
      </c>
    </row>
    <row r="324" spans="1:12" x14ac:dyDescent="0.25">
      <c r="A324" s="4">
        <v>1128</v>
      </c>
      <c r="B324" s="4" t="s">
        <v>172</v>
      </c>
      <c r="C324" s="4" t="s">
        <v>460</v>
      </c>
      <c r="D324" s="4" t="s">
        <v>14</v>
      </c>
      <c r="E324" s="4" t="s">
        <v>20</v>
      </c>
      <c r="F324" s="6">
        <v>0.32</v>
      </c>
      <c r="G324" s="4">
        <v>2</v>
      </c>
      <c r="H324" s="2">
        <v>234584</v>
      </c>
      <c r="I324" s="4" t="s">
        <v>2</v>
      </c>
      <c r="J324" s="4" t="s">
        <v>2</v>
      </c>
      <c r="K324" s="5">
        <v>43552</v>
      </c>
      <c r="L324" s="3">
        <f t="shared" ca="1" si="5"/>
        <v>5.1277777777777782</v>
      </c>
    </row>
    <row r="325" spans="1:12" x14ac:dyDescent="0.25">
      <c r="A325" s="4">
        <v>1129</v>
      </c>
      <c r="B325" s="4" t="s">
        <v>334</v>
      </c>
      <c r="C325" s="4" t="s">
        <v>436</v>
      </c>
      <c r="D325" s="4" t="s">
        <v>9</v>
      </c>
      <c r="E325" s="4" t="s">
        <v>16</v>
      </c>
      <c r="F325" s="6">
        <v>0.5</v>
      </c>
      <c r="G325" s="4">
        <v>1</v>
      </c>
      <c r="H325" s="2">
        <v>117704</v>
      </c>
      <c r="I325" s="4" t="s">
        <v>2</v>
      </c>
      <c r="J325" s="4" t="s">
        <v>1</v>
      </c>
      <c r="K325" s="5">
        <v>43453</v>
      </c>
      <c r="L325" s="3">
        <f t="shared" ca="1" si="5"/>
        <v>5.4027777777777777</v>
      </c>
    </row>
    <row r="326" spans="1:12" x14ac:dyDescent="0.25">
      <c r="A326" s="4">
        <v>1131</v>
      </c>
      <c r="B326" s="4" t="s">
        <v>335</v>
      </c>
      <c r="C326" s="4" t="s">
        <v>456</v>
      </c>
      <c r="D326" s="4" t="s">
        <v>14</v>
      </c>
      <c r="E326" s="4" t="s">
        <v>15</v>
      </c>
      <c r="F326" s="6">
        <v>0.28999999999999998</v>
      </c>
      <c r="G326" s="4">
        <v>0</v>
      </c>
      <c r="H326" s="2">
        <v>222891</v>
      </c>
      <c r="I326" s="4" t="s">
        <v>2</v>
      </c>
      <c r="J326" s="4" t="s">
        <v>2</v>
      </c>
      <c r="K326" s="5">
        <v>43051</v>
      </c>
      <c r="L326" s="3">
        <f t="shared" ca="1" si="5"/>
        <v>6.5055555555555555</v>
      </c>
    </row>
    <row r="327" spans="1:12" x14ac:dyDescent="0.25">
      <c r="A327" s="4">
        <v>1133</v>
      </c>
      <c r="B327" s="4" t="s">
        <v>336</v>
      </c>
      <c r="C327" s="4" t="s">
        <v>441</v>
      </c>
      <c r="D327" s="4" t="s">
        <v>10</v>
      </c>
      <c r="E327" s="4" t="s">
        <v>3</v>
      </c>
      <c r="F327" s="6">
        <v>0.42</v>
      </c>
      <c r="G327" s="4">
        <v>1</v>
      </c>
      <c r="H327" s="2">
        <v>271368</v>
      </c>
      <c r="I327" s="4" t="s">
        <v>2</v>
      </c>
      <c r="J327" s="4" t="s">
        <v>2</v>
      </c>
      <c r="K327" s="5">
        <v>44135</v>
      </c>
      <c r="L327" s="3">
        <f t="shared" ca="1" si="5"/>
        <v>3.5388888888888888</v>
      </c>
    </row>
    <row r="328" spans="1:12" x14ac:dyDescent="0.25">
      <c r="A328" s="4">
        <v>1134</v>
      </c>
      <c r="B328" s="4" t="s">
        <v>337</v>
      </c>
      <c r="C328" s="4" t="s">
        <v>452</v>
      </c>
      <c r="D328" s="4" t="s">
        <v>9</v>
      </c>
      <c r="E328" s="4" t="s">
        <v>18</v>
      </c>
      <c r="F328" s="6">
        <v>0.1</v>
      </c>
      <c r="G328" s="4">
        <v>3</v>
      </c>
      <c r="H328" s="2">
        <v>107126</v>
      </c>
      <c r="I328" s="4" t="s">
        <v>2</v>
      </c>
      <c r="J328" s="4" t="s">
        <v>2</v>
      </c>
      <c r="K328" s="5">
        <v>42921</v>
      </c>
      <c r="L328" s="3">
        <f t="shared" ca="1" si="5"/>
        <v>6.8583333333333334</v>
      </c>
    </row>
    <row r="329" spans="1:12" x14ac:dyDescent="0.25">
      <c r="A329" s="4">
        <v>1135</v>
      </c>
      <c r="B329" s="4" t="s">
        <v>338</v>
      </c>
      <c r="C329" s="4" t="s">
        <v>444</v>
      </c>
      <c r="D329" s="4" t="s">
        <v>14</v>
      </c>
      <c r="E329" s="4" t="s">
        <v>21</v>
      </c>
      <c r="F329" s="6">
        <v>0.8</v>
      </c>
      <c r="G329" s="4">
        <v>1</v>
      </c>
      <c r="H329" s="2">
        <v>241447</v>
      </c>
      <c r="I329" s="4" t="s">
        <v>2</v>
      </c>
      <c r="J329" s="4" t="s">
        <v>2</v>
      </c>
      <c r="K329" s="5">
        <v>43416</v>
      </c>
      <c r="L329" s="3">
        <f t="shared" ca="1" si="5"/>
        <v>5.5055555555555555</v>
      </c>
    </row>
    <row r="330" spans="1:12" x14ac:dyDescent="0.25">
      <c r="A330" s="4">
        <v>1136</v>
      </c>
      <c r="B330" s="4" t="s">
        <v>298</v>
      </c>
      <c r="C330" s="4" t="s">
        <v>465</v>
      </c>
      <c r="D330" s="4" t="s">
        <v>10</v>
      </c>
      <c r="E330" s="4" t="s">
        <v>15</v>
      </c>
      <c r="F330" s="6">
        <v>0.66</v>
      </c>
      <c r="G330" s="4">
        <v>1</v>
      </c>
      <c r="H330" s="2">
        <v>273540</v>
      </c>
      <c r="I330" s="4" t="s">
        <v>2</v>
      </c>
      <c r="J330" s="4" t="s">
        <v>2</v>
      </c>
      <c r="K330" s="5">
        <v>43796</v>
      </c>
      <c r="L330" s="3">
        <f t="shared" ca="1" si="5"/>
        <v>4.4638888888888886</v>
      </c>
    </row>
    <row r="331" spans="1:12" x14ac:dyDescent="0.25">
      <c r="A331" s="4">
        <v>1138</v>
      </c>
      <c r="B331" s="4" t="s">
        <v>339</v>
      </c>
      <c r="C331" s="4" t="s">
        <v>476</v>
      </c>
      <c r="D331" s="4" t="s">
        <v>14</v>
      </c>
      <c r="E331" s="4" t="s">
        <v>18</v>
      </c>
      <c r="F331" s="6">
        <v>0.3</v>
      </c>
      <c r="G331" s="4">
        <v>3</v>
      </c>
      <c r="H331" s="2">
        <v>244324</v>
      </c>
      <c r="I331" s="4" t="s">
        <v>2</v>
      </c>
      <c r="J331" s="4" t="s">
        <v>1</v>
      </c>
      <c r="K331" s="5">
        <v>43524</v>
      </c>
      <c r="L331" s="3">
        <f t="shared" ca="1" si="5"/>
        <v>5.2055555555555557</v>
      </c>
    </row>
    <row r="332" spans="1:12" x14ac:dyDescent="0.25">
      <c r="A332" s="4">
        <v>1139</v>
      </c>
      <c r="B332" s="4" t="s">
        <v>340</v>
      </c>
      <c r="C332" s="4" t="s">
        <v>470</v>
      </c>
      <c r="D332" s="4" t="s">
        <v>10</v>
      </c>
      <c r="E332" s="4" t="s">
        <v>17</v>
      </c>
      <c r="F332" s="6">
        <v>0.85</v>
      </c>
      <c r="G332" s="4">
        <v>3</v>
      </c>
      <c r="H332" s="2">
        <v>259469</v>
      </c>
      <c r="I332" s="4" t="s">
        <v>2</v>
      </c>
      <c r="J332" s="4" t="s">
        <v>1</v>
      </c>
      <c r="K332" s="5">
        <v>43035</v>
      </c>
      <c r="L332" s="3">
        <f t="shared" ca="1" si="5"/>
        <v>6.5472222222222225</v>
      </c>
    </row>
    <row r="333" spans="1:12" x14ac:dyDescent="0.25">
      <c r="A333" s="4">
        <v>1140</v>
      </c>
      <c r="B333" s="4" t="s">
        <v>341</v>
      </c>
      <c r="C333" s="4" t="s">
        <v>448</v>
      </c>
      <c r="D333" s="4" t="s">
        <v>4</v>
      </c>
      <c r="E333" s="4" t="s">
        <v>21</v>
      </c>
      <c r="F333" s="6">
        <v>0.51</v>
      </c>
      <c r="G333" s="4">
        <v>3</v>
      </c>
      <c r="H333" s="2">
        <v>186108</v>
      </c>
      <c r="I333" s="4" t="s">
        <v>2</v>
      </c>
      <c r="J333" s="4" t="s">
        <v>1</v>
      </c>
      <c r="K333" s="5">
        <v>43943</v>
      </c>
      <c r="L333" s="3">
        <f t="shared" ca="1" si="5"/>
        <v>4.0611111111111109</v>
      </c>
    </row>
    <row r="334" spans="1:12" x14ac:dyDescent="0.25">
      <c r="A334" s="4">
        <v>1141</v>
      </c>
      <c r="B334" s="4" t="s">
        <v>78</v>
      </c>
      <c r="C334" s="4" t="s">
        <v>451</v>
      </c>
      <c r="D334" s="4" t="s">
        <v>10</v>
      </c>
      <c r="E334" s="4" t="s">
        <v>17</v>
      </c>
      <c r="F334" s="6">
        <v>0.99</v>
      </c>
      <c r="G334" s="4">
        <v>0</v>
      </c>
      <c r="H334" s="2">
        <v>269210</v>
      </c>
      <c r="I334" s="4" t="s">
        <v>2</v>
      </c>
      <c r="J334" s="4" t="s">
        <v>2</v>
      </c>
      <c r="K334" s="5">
        <v>44189</v>
      </c>
      <c r="L334" s="3">
        <f t="shared" ca="1" si="5"/>
        <v>3.3888888888888888</v>
      </c>
    </row>
    <row r="335" spans="1:12" x14ac:dyDescent="0.25">
      <c r="A335" s="4">
        <v>1142</v>
      </c>
      <c r="B335" s="4" t="s">
        <v>342</v>
      </c>
      <c r="C335" s="4" t="s">
        <v>441</v>
      </c>
      <c r="D335" s="4" t="s">
        <v>14</v>
      </c>
      <c r="E335" s="4" t="s">
        <v>20</v>
      </c>
      <c r="F335" s="6">
        <v>0.69</v>
      </c>
      <c r="G335" s="4">
        <v>3</v>
      </c>
      <c r="H335" s="2">
        <v>230499</v>
      </c>
      <c r="I335" s="4" t="s">
        <v>2</v>
      </c>
      <c r="J335" s="4" t="s">
        <v>2</v>
      </c>
      <c r="K335" s="5">
        <v>42933</v>
      </c>
      <c r="L335" s="3">
        <f t="shared" ca="1" si="5"/>
        <v>6.8250000000000002</v>
      </c>
    </row>
    <row r="336" spans="1:12" x14ac:dyDescent="0.25">
      <c r="A336" s="4">
        <v>1143</v>
      </c>
      <c r="B336" s="4" t="s">
        <v>343</v>
      </c>
      <c r="C336" s="4" t="s">
        <v>450</v>
      </c>
      <c r="D336" s="4" t="s">
        <v>8</v>
      </c>
      <c r="E336" s="4" t="s">
        <v>17</v>
      </c>
      <c r="F336" s="6">
        <v>0.4</v>
      </c>
      <c r="G336" s="4">
        <v>4</v>
      </c>
      <c r="H336" s="2">
        <v>91979</v>
      </c>
      <c r="I336" s="4" t="s">
        <v>2</v>
      </c>
      <c r="J336" s="4" t="s">
        <v>1</v>
      </c>
      <c r="K336" s="5">
        <v>43089</v>
      </c>
      <c r="L336" s="3">
        <f t="shared" ca="1" si="5"/>
        <v>6.4</v>
      </c>
    </row>
    <row r="337" spans="1:12" x14ac:dyDescent="0.25">
      <c r="A337" s="4">
        <v>1145</v>
      </c>
      <c r="B337" s="4" t="s">
        <v>344</v>
      </c>
      <c r="C337" s="4" t="s">
        <v>480</v>
      </c>
      <c r="D337" s="4" t="s">
        <v>8</v>
      </c>
      <c r="E337" s="4" t="s">
        <v>18</v>
      </c>
      <c r="F337" s="6">
        <v>0.92</v>
      </c>
      <c r="G337" s="4">
        <v>2</v>
      </c>
      <c r="H337" s="2">
        <v>88786</v>
      </c>
      <c r="I337" s="4" t="s">
        <v>2</v>
      </c>
      <c r="J337" s="4" t="s">
        <v>2</v>
      </c>
      <c r="K337" s="5">
        <v>43418</v>
      </c>
      <c r="L337" s="3">
        <f t="shared" ca="1" si="5"/>
        <v>5.5</v>
      </c>
    </row>
    <row r="338" spans="1:12" x14ac:dyDescent="0.25">
      <c r="A338" s="4">
        <v>1148</v>
      </c>
      <c r="B338" s="4" t="s">
        <v>277</v>
      </c>
      <c r="C338" s="4" t="s">
        <v>478</v>
      </c>
      <c r="D338" s="4" t="s">
        <v>14</v>
      </c>
      <c r="E338" s="4" t="s">
        <v>15</v>
      </c>
      <c r="F338" s="6">
        <v>0.9</v>
      </c>
      <c r="G338" s="4">
        <v>2</v>
      </c>
      <c r="H338" s="2">
        <v>229378</v>
      </c>
      <c r="I338" s="4" t="s">
        <v>2</v>
      </c>
      <c r="J338" s="4" t="s">
        <v>2</v>
      </c>
      <c r="K338" s="5">
        <v>43589</v>
      </c>
      <c r="L338" s="3">
        <f t="shared" ca="1" si="5"/>
        <v>5.0277777777777777</v>
      </c>
    </row>
    <row r="339" spans="1:12" x14ac:dyDescent="0.25">
      <c r="A339" s="4">
        <v>1149</v>
      </c>
      <c r="B339" s="4" t="s">
        <v>345</v>
      </c>
      <c r="C339" s="4" t="s">
        <v>467</v>
      </c>
      <c r="D339" s="4" t="s">
        <v>10</v>
      </c>
      <c r="E339" s="4" t="s">
        <v>18</v>
      </c>
      <c r="F339" s="6">
        <v>0.35</v>
      </c>
      <c r="G339" s="4">
        <v>4</v>
      </c>
      <c r="H339" s="2">
        <v>254644</v>
      </c>
      <c r="I339" s="4" t="s">
        <v>2</v>
      </c>
      <c r="J339" s="4" t="s">
        <v>1</v>
      </c>
      <c r="K339" s="5">
        <v>44023</v>
      </c>
      <c r="L339" s="3">
        <f t="shared" ca="1" si="5"/>
        <v>3.8416666666666668</v>
      </c>
    </row>
    <row r="340" spans="1:12" x14ac:dyDescent="0.25">
      <c r="A340" s="4">
        <v>1150</v>
      </c>
      <c r="B340" s="4" t="s">
        <v>217</v>
      </c>
      <c r="C340" s="4" t="s">
        <v>444</v>
      </c>
      <c r="D340" s="4" t="s">
        <v>4</v>
      </c>
      <c r="E340" s="4" t="s">
        <v>21</v>
      </c>
      <c r="F340" s="6">
        <v>0.4</v>
      </c>
      <c r="G340" s="4">
        <v>2</v>
      </c>
      <c r="H340" s="2">
        <v>181722</v>
      </c>
      <c r="I340" s="4" t="s">
        <v>2</v>
      </c>
      <c r="J340" s="4" t="s">
        <v>1</v>
      </c>
      <c r="K340" s="5">
        <v>43784</v>
      </c>
      <c r="L340" s="3">
        <f t="shared" ca="1" si="5"/>
        <v>4.4972222222222218</v>
      </c>
    </row>
    <row r="341" spans="1:12" x14ac:dyDescent="0.25">
      <c r="A341" s="4">
        <v>1151</v>
      </c>
      <c r="B341" s="4" t="s">
        <v>334</v>
      </c>
      <c r="C341" s="4" t="s">
        <v>481</v>
      </c>
      <c r="D341" s="4" t="s">
        <v>9</v>
      </c>
      <c r="E341" s="4" t="s">
        <v>16</v>
      </c>
      <c r="F341" s="6">
        <v>0.49</v>
      </c>
      <c r="G341" s="4">
        <v>0</v>
      </c>
      <c r="H341" s="2">
        <v>113239</v>
      </c>
      <c r="I341" s="4" t="s">
        <v>2</v>
      </c>
      <c r="J341" s="4" t="s">
        <v>1</v>
      </c>
      <c r="K341" s="5">
        <v>42902</v>
      </c>
      <c r="L341" s="3">
        <f t="shared" ca="1" si="5"/>
        <v>6.9111111111111114</v>
      </c>
    </row>
    <row r="342" spans="1:12" x14ac:dyDescent="0.25">
      <c r="A342" s="4">
        <v>1152</v>
      </c>
      <c r="B342" s="4" t="s">
        <v>346</v>
      </c>
      <c r="C342" s="4" t="s">
        <v>479</v>
      </c>
      <c r="D342" s="4" t="s">
        <v>9</v>
      </c>
      <c r="E342" s="4" t="s">
        <v>20</v>
      </c>
      <c r="F342" s="6">
        <v>0.98</v>
      </c>
      <c r="G342" s="4">
        <v>5</v>
      </c>
      <c r="H342" s="2">
        <v>122694</v>
      </c>
      <c r="I342" s="4" t="s">
        <v>2</v>
      </c>
      <c r="J342" s="4" t="s">
        <v>1</v>
      </c>
      <c r="K342" s="5">
        <v>42960</v>
      </c>
      <c r="L342" s="3">
        <f t="shared" ca="1" si="5"/>
        <v>6.7527777777777782</v>
      </c>
    </row>
    <row r="343" spans="1:12" x14ac:dyDescent="0.25">
      <c r="A343" s="4">
        <v>1153</v>
      </c>
      <c r="B343" s="4" t="s">
        <v>347</v>
      </c>
      <c r="C343" s="4" t="s">
        <v>458</v>
      </c>
      <c r="D343" s="4" t="s">
        <v>14</v>
      </c>
      <c r="E343" s="4" t="s">
        <v>18</v>
      </c>
      <c r="F343" s="6">
        <v>0.27</v>
      </c>
      <c r="G343" s="4">
        <v>1</v>
      </c>
      <c r="H343" s="2">
        <v>245302</v>
      </c>
      <c r="I343" s="4" t="s">
        <v>2</v>
      </c>
      <c r="J343" s="4" t="s">
        <v>2</v>
      </c>
      <c r="K343" s="5">
        <v>43286</v>
      </c>
      <c r="L343" s="3">
        <f t="shared" ca="1" si="5"/>
        <v>5.8583333333333334</v>
      </c>
    </row>
    <row r="344" spans="1:12" x14ac:dyDescent="0.25">
      <c r="A344" s="4">
        <v>1154</v>
      </c>
      <c r="B344" s="4" t="s">
        <v>348</v>
      </c>
      <c r="C344" s="4" t="s">
        <v>449</v>
      </c>
      <c r="D344" s="4" t="s">
        <v>14</v>
      </c>
      <c r="E344" s="4" t="s">
        <v>21</v>
      </c>
      <c r="F344" s="6">
        <v>0.73</v>
      </c>
      <c r="G344" s="4">
        <v>2</v>
      </c>
      <c r="H344" s="2">
        <v>224857</v>
      </c>
      <c r="I344" s="4" t="s">
        <v>2</v>
      </c>
      <c r="J344" s="4" t="s">
        <v>1</v>
      </c>
      <c r="K344" s="5">
        <v>43876</v>
      </c>
      <c r="L344" s="3">
        <f t="shared" ca="1" si="5"/>
        <v>4.2472222222222218</v>
      </c>
    </row>
    <row r="345" spans="1:12" x14ac:dyDescent="0.25">
      <c r="A345" s="4">
        <v>1155</v>
      </c>
      <c r="B345" s="4" t="s">
        <v>264</v>
      </c>
      <c r="C345" s="4" t="s">
        <v>454</v>
      </c>
      <c r="D345" s="4" t="s">
        <v>4</v>
      </c>
      <c r="E345" s="4" t="s">
        <v>21</v>
      </c>
      <c r="F345" s="6">
        <v>0.46</v>
      </c>
      <c r="G345" s="4">
        <v>4</v>
      </c>
      <c r="H345" s="2">
        <v>183737</v>
      </c>
      <c r="I345" s="4" t="s">
        <v>2</v>
      </c>
      <c r="J345" s="4" t="s">
        <v>1</v>
      </c>
      <c r="K345" s="5">
        <v>43719</v>
      </c>
      <c r="L345" s="3">
        <f t="shared" ca="1" si="5"/>
        <v>4.6749999999999998</v>
      </c>
    </row>
    <row r="346" spans="1:12" x14ac:dyDescent="0.25">
      <c r="A346" s="4">
        <v>1156</v>
      </c>
      <c r="B346" s="4" t="s">
        <v>349</v>
      </c>
      <c r="C346" s="4" t="s">
        <v>469</v>
      </c>
      <c r="D346" s="4" t="s">
        <v>8</v>
      </c>
      <c r="E346" s="4" t="s">
        <v>18</v>
      </c>
      <c r="F346" s="6">
        <v>0.76</v>
      </c>
      <c r="G346" s="4">
        <v>3</v>
      </c>
      <c r="H346" s="2">
        <v>81738</v>
      </c>
      <c r="I346" s="4" t="s">
        <v>2</v>
      </c>
      <c r="J346" s="4" t="s">
        <v>1</v>
      </c>
      <c r="K346" s="5">
        <v>43566</v>
      </c>
      <c r="L346" s="3">
        <f t="shared" ca="1" si="5"/>
        <v>5.0916666666666668</v>
      </c>
    </row>
    <row r="347" spans="1:12" x14ac:dyDescent="0.25">
      <c r="A347" s="4">
        <v>1157</v>
      </c>
      <c r="B347" s="4" t="s">
        <v>350</v>
      </c>
      <c r="C347" s="4" t="s">
        <v>436</v>
      </c>
      <c r="D347" s="4" t="s">
        <v>4</v>
      </c>
      <c r="E347" s="4" t="s">
        <v>17</v>
      </c>
      <c r="F347" s="6">
        <v>0.65</v>
      </c>
      <c r="G347" s="4">
        <v>4</v>
      </c>
      <c r="H347" s="2">
        <v>183788</v>
      </c>
      <c r="I347" s="4" t="s">
        <v>2</v>
      </c>
      <c r="J347" s="4" t="s">
        <v>1</v>
      </c>
      <c r="K347" s="5">
        <v>43936</v>
      </c>
      <c r="L347" s="3">
        <f t="shared" ca="1" si="5"/>
        <v>4.0805555555555557</v>
      </c>
    </row>
    <row r="348" spans="1:12" x14ac:dyDescent="0.25">
      <c r="A348" s="4">
        <v>1158</v>
      </c>
      <c r="B348" s="4" t="s">
        <v>351</v>
      </c>
      <c r="C348" s="4" t="s">
        <v>440</v>
      </c>
      <c r="D348" s="4" t="s">
        <v>14</v>
      </c>
      <c r="E348" s="4" t="s">
        <v>19</v>
      </c>
      <c r="F348" s="6">
        <v>0</v>
      </c>
      <c r="G348" s="4">
        <v>2</v>
      </c>
      <c r="H348" s="2">
        <v>238415</v>
      </c>
      <c r="I348" s="4" t="s">
        <v>2</v>
      </c>
      <c r="J348" s="4" t="s">
        <v>2</v>
      </c>
      <c r="K348" s="5">
        <v>43897</v>
      </c>
      <c r="L348" s="3">
        <f t="shared" ca="1" si="5"/>
        <v>4.1861111111111109</v>
      </c>
    </row>
    <row r="349" spans="1:12" x14ac:dyDescent="0.25">
      <c r="A349" s="4">
        <v>1159</v>
      </c>
      <c r="B349" s="4" t="s">
        <v>213</v>
      </c>
      <c r="C349" s="4" t="s">
        <v>474</v>
      </c>
      <c r="D349" s="4" t="s">
        <v>14</v>
      </c>
      <c r="E349" s="4" t="s">
        <v>21</v>
      </c>
      <c r="F349" s="6">
        <v>0.79</v>
      </c>
      <c r="G349" s="4">
        <v>3</v>
      </c>
      <c r="H349" s="2">
        <v>241027</v>
      </c>
      <c r="I349" s="4" t="s">
        <v>2</v>
      </c>
      <c r="J349" s="4" t="s">
        <v>2</v>
      </c>
      <c r="K349" s="5">
        <v>44000</v>
      </c>
      <c r="L349" s="3">
        <f t="shared" ca="1" si="5"/>
        <v>3.9055555555555554</v>
      </c>
    </row>
    <row r="350" spans="1:12" x14ac:dyDescent="0.25">
      <c r="A350" s="4">
        <v>1160</v>
      </c>
      <c r="B350" s="4" t="s">
        <v>232</v>
      </c>
      <c r="C350" s="4" t="s">
        <v>483</v>
      </c>
      <c r="D350" s="4" t="s">
        <v>4</v>
      </c>
      <c r="E350" s="4" t="s">
        <v>20</v>
      </c>
      <c r="F350" s="6">
        <v>0.11</v>
      </c>
      <c r="G350" s="4">
        <v>0</v>
      </c>
      <c r="H350" s="2">
        <v>182326</v>
      </c>
      <c r="I350" s="4" t="s">
        <v>2</v>
      </c>
      <c r="J350" s="4" t="s">
        <v>2</v>
      </c>
      <c r="K350" s="5">
        <v>43624</v>
      </c>
      <c r="L350" s="3">
        <f t="shared" ca="1" si="5"/>
        <v>4.9333333333333336</v>
      </c>
    </row>
    <row r="351" spans="1:12" x14ac:dyDescent="0.25">
      <c r="A351" s="4">
        <v>1161</v>
      </c>
      <c r="B351" s="4" t="s">
        <v>233</v>
      </c>
      <c r="C351" s="4" t="s">
        <v>464</v>
      </c>
      <c r="D351" s="4" t="s">
        <v>4</v>
      </c>
      <c r="E351" s="4" t="s">
        <v>16</v>
      </c>
      <c r="F351" s="6">
        <v>0.14000000000000001</v>
      </c>
      <c r="G351" s="4">
        <v>0</v>
      </c>
      <c r="H351" s="2">
        <v>202701</v>
      </c>
      <c r="I351" s="4" t="s">
        <v>2</v>
      </c>
      <c r="J351" s="4" t="s">
        <v>2</v>
      </c>
      <c r="K351" s="5">
        <v>43527</v>
      </c>
      <c r="L351" s="3">
        <f t="shared" ca="1" si="5"/>
        <v>5.197222222222222</v>
      </c>
    </row>
    <row r="352" spans="1:12" x14ac:dyDescent="0.25">
      <c r="A352" s="4">
        <v>1162</v>
      </c>
      <c r="B352" s="4" t="s">
        <v>352</v>
      </c>
      <c r="C352" s="4" t="s">
        <v>484</v>
      </c>
      <c r="D352" s="4" t="s">
        <v>10</v>
      </c>
      <c r="E352" s="4" t="s">
        <v>16</v>
      </c>
      <c r="F352" s="6">
        <v>0.8</v>
      </c>
      <c r="G352" s="4">
        <v>1</v>
      </c>
      <c r="H352" s="2">
        <v>271138</v>
      </c>
      <c r="I352" s="4" t="s">
        <v>2</v>
      </c>
      <c r="J352" s="4" t="s">
        <v>2</v>
      </c>
      <c r="K352" s="5">
        <v>43505</v>
      </c>
      <c r="L352" s="3">
        <f t="shared" ca="1" si="5"/>
        <v>5.2638888888888893</v>
      </c>
    </row>
    <row r="353" spans="1:12" x14ac:dyDescent="0.25">
      <c r="A353" s="4">
        <v>1163</v>
      </c>
      <c r="B353" s="4" t="s">
        <v>200</v>
      </c>
      <c r="C353" s="4" t="s">
        <v>439</v>
      </c>
      <c r="D353" s="4" t="s">
        <v>9</v>
      </c>
      <c r="E353" s="4" t="s">
        <v>17</v>
      </c>
      <c r="F353" s="6">
        <v>0.79</v>
      </c>
      <c r="G353" s="4">
        <v>3</v>
      </c>
      <c r="H353" s="2">
        <v>120436</v>
      </c>
      <c r="I353" s="4" t="s">
        <v>2</v>
      </c>
      <c r="J353" s="4" t="s">
        <v>2</v>
      </c>
      <c r="K353" s="5">
        <v>43757</v>
      </c>
      <c r="L353" s="3">
        <f t="shared" ca="1" si="5"/>
        <v>4.5694444444444446</v>
      </c>
    </row>
    <row r="354" spans="1:12" x14ac:dyDescent="0.25">
      <c r="A354" s="4">
        <v>1164</v>
      </c>
      <c r="B354" s="4" t="s">
        <v>353</v>
      </c>
      <c r="C354" s="4" t="s">
        <v>453</v>
      </c>
      <c r="D354" s="4" t="s">
        <v>4</v>
      </c>
      <c r="E354" s="4" t="s">
        <v>16</v>
      </c>
      <c r="F354" s="6">
        <v>0.05</v>
      </c>
      <c r="G354" s="4">
        <v>2</v>
      </c>
      <c r="H354" s="2">
        <v>198849</v>
      </c>
      <c r="I354" s="4" t="s">
        <v>2</v>
      </c>
      <c r="J354" s="4" t="s">
        <v>2</v>
      </c>
      <c r="K354" s="5">
        <v>44020</v>
      </c>
      <c r="L354" s="3">
        <f t="shared" ca="1" si="5"/>
        <v>3.85</v>
      </c>
    </row>
    <row r="355" spans="1:12" x14ac:dyDescent="0.25">
      <c r="A355" s="4">
        <v>1167</v>
      </c>
      <c r="B355" s="4" t="s">
        <v>298</v>
      </c>
      <c r="C355" s="4" t="s">
        <v>445</v>
      </c>
      <c r="D355" s="4" t="s">
        <v>14</v>
      </c>
      <c r="E355" s="4" t="s">
        <v>18</v>
      </c>
      <c r="F355" s="6">
        <v>0.61</v>
      </c>
      <c r="G355" s="4">
        <v>2</v>
      </c>
      <c r="H355" s="2">
        <v>227508</v>
      </c>
      <c r="I355" s="4" t="s">
        <v>2</v>
      </c>
      <c r="J355" s="4" t="s">
        <v>2</v>
      </c>
      <c r="K355" s="5">
        <v>44025</v>
      </c>
      <c r="L355" s="3">
        <f t="shared" ca="1" si="5"/>
        <v>3.8361111111111112</v>
      </c>
    </row>
    <row r="356" spans="1:12" x14ac:dyDescent="0.25">
      <c r="A356" s="4">
        <v>1168</v>
      </c>
      <c r="B356" s="4" t="s">
        <v>354</v>
      </c>
      <c r="C356" s="4" t="s">
        <v>438</v>
      </c>
      <c r="D356" s="4" t="s">
        <v>10</v>
      </c>
      <c r="E356" s="4" t="s">
        <v>19</v>
      </c>
      <c r="F356" s="6">
        <v>0</v>
      </c>
      <c r="G356" s="4">
        <v>1</v>
      </c>
      <c r="H356" s="2">
        <v>258259</v>
      </c>
      <c r="I356" s="4" t="s">
        <v>2</v>
      </c>
      <c r="J356" s="4" t="s">
        <v>2</v>
      </c>
      <c r="K356" s="5">
        <v>43038</v>
      </c>
      <c r="L356" s="3">
        <f t="shared" ca="1" si="5"/>
        <v>6.5388888888888888</v>
      </c>
    </row>
    <row r="357" spans="1:12" x14ac:dyDescent="0.25">
      <c r="A357" s="4">
        <v>1169</v>
      </c>
      <c r="B357" s="4" t="s">
        <v>335</v>
      </c>
      <c r="C357" s="4" t="s">
        <v>461</v>
      </c>
      <c r="D357" s="4" t="s">
        <v>4</v>
      </c>
      <c r="E357" s="4" t="s">
        <v>18</v>
      </c>
      <c r="F357" s="6">
        <v>0.4</v>
      </c>
      <c r="G357" s="4">
        <v>1</v>
      </c>
      <c r="H357" s="2">
        <v>209453</v>
      </c>
      <c r="I357" s="4" t="s">
        <v>2</v>
      </c>
      <c r="J357" s="4" t="s">
        <v>2</v>
      </c>
      <c r="K357" s="5">
        <v>44131</v>
      </c>
      <c r="L357" s="3">
        <f t="shared" ca="1" si="5"/>
        <v>3.5472222222222221</v>
      </c>
    </row>
    <row r="358" spans="1:12" x14ac:dyDescent="0.25">
      <c r="A358" s="4">
        <v>1170</v>
      </c>
      <c r="B358" s="4" t="s">
        <v>336</v>
      </c>
      <c r="C358" s="4" t="s">
        <v>442</v>
      </c>
      <c r="D358" s="4" t="s">
        <v>14</v>
      </c>
      <c r="E358" s="4" t="s">
        <v>17</v>
      </c>
      <c r="F358" s="6">
        <v>0.55000000000000004</v>
      </c>
      <c r="G358" s="4">
        <v>2</v>
      </c>
      <c r="H358" s="2">
        <v>232944</v>
      </c>
      <c r="I358" s="4" t="s">
        <v>2</v>
      </c>
      <c r="J358" s="4" t="s">
        <v>2</v>
      </c>
      <c r="K358" s="5">
        <v>42854</v>
      </c>
      <c r="L358" s="3">
        <f t="shared" ca="1" si="5"/>
        <v>7.041666666666667</v>
      </c>
    </row>
    <row r="359" spans="1:12" x14ac:dyDescent="0.25">
      <c r="A359" s="4">
        <v>1171</v>
      </c>
      <c r="B359" s="4" t="s">
        <v>355</v>
      </c>
      <c r="C359" s="4" t="s">
        <v>463</v>
      </c>
      <c r="D359" s="4" t="s">
        <v>8</v>
      </c>
      <c r="E359" s="4" t="s">
        <v>17</v>
      </c>
      <c r="F359" s="6">
        <v>0.31</v>
      </c>
      <c r="G359" s="4">
        <v>0</v>
      </c>
      <c r="H359" s="2">
        <v>61140</v>
      </c>
      <c r="I359" s="4" t="s">
        <v>2</v>
      </c>
      <c r="J359" s="4" t="s">
        <v>1</v>
      </c>
      <c r="K359" s="5">
        <v>43664</v>
      </c>
      <c r="L359" s="3">
        <f t="shared" ca="1" si="5"/>
        <v>4.822222222222222</v>
      </c>
    </row>
    <row r="360" spans="1:12" x14ac:dyDescent="0.25">
      <c r="A360" s="4">
        <v>1172</v>
      </c>
      <c r="B360" s="4" t="s">
        <v>338</v>
      </c>
      <c r="C360" s="4" t="s">
        <v>457</v>
      </c>
      <c r="D360" s="4" t="s">
        <v>10</v>
      </c>
      <c r="E360" s="4" t="s">
        <v>15</v>
      </c>
      <c r="F360" s="6">
        <v>0.48</v>
      </c>
      <c r="G360" s="4">
        <v>4</v>
      </c>
      <c r="H360" s="2">
        <v>256543</v>
      </c>
      <c r="I360" s="4" t="s">
        <v>2</v>
      </c>
      <c r="J360" s="4" t="s">
        <v>1</v>
      </c>
      <c r="K360" s="5">
        <v>43091</v>
      </c>
      <c r="L360" s="3">
        <f t="shared" ca="1" si="5"/>
        <v>6.3944444444444448</v>
      </c>
    </row>
    <row r="361" spans="1:12" x14ac:dyDescent="0.25">
      <c r="A361" s="4">
        <v>1173</v>
      </c>
      <c r="B361" s="4" t="s">
        <v>187</v>
      </c>
      <c r="C361" s="4" t="s">
        <v>443</v>
      </c>
      <c r="D361" s="4" t="s">
        <v>10</v>
      </c>
      <c r="E361" s="4" t="s">
        <v>21</v>
      </c>
      <c r="F361" s="6">
        <v>0.76</v>
      </c>
      <c r="G361" s="4">
        <v>0</v>
      </c>
      <c r="H361" s="2">
        <v>252726</v>
      </c>
      <c r="I361" s="4" t="s">
        <v>2</v>
      </c>
      <c r="J361" s="4" t="s">
        <v>2</v>
      </c>
      <c r="K361" s="5">
        <v>43370</v>
      </c>
      <c r="L361" s="3">
        <f t="shared" ca="1" si="5"/>
        <v>5.6305555555555555</v>
      </c>
    </row>
    <row r="362" spans="1:12" x14ac:dyDescent="0.25">
      <c r="A362" s="4">
        <v>1174</v>
      </c>
      <c r="B362" s="4" t="s">
        <v>339</v>
      </c>
      <c r="C362" s="4" t="s">
        <v>452</v>
      </c>
      <c r="D362" s="4" t="s">
        <v>10</v>
      </c>
      <c r="E362" s="4" t="s">
        <v>20</v>
      </c>
      <c r="F362" s="6">
        <v>0.33</v>
      </c>
      <c r="G362" s="4">
        <v>5</v>
      </c>
      <c r="H362" s="2">
        <v>265784</v>
      </c>
      <c r="I362" s="4" t="s">
        <v>2</v>
      </c>
      <c r="J362" s="4" t="s">
        <v>1</v>
      </c>
      <c r="K362" s="5">
        <v>43810</v>
      </c>
      <c r="L362" s="3">
        <f t="shared" ca="1" si="5"/>
        <v>4.4249999999999998</v>
      </c>
    </row>
    <row r="363" spans="1:12" x14ac:dyDescent="0.25">
      <c r="A363" s="4">
        <v>1175</v>
      </c>
      <c r="B363" s="4" t="s">
        <v>340</v>
      </c>
      <c r="C363" s="4" t="s">
        <v>460</v>
      </c>
      <c r="D363" s="4" t="s">
        <v>8</v>
      </c>
      <c r="E363" s="4" t="s">
        <v>20</v>
      </c>
      <c r="F363" s="6">
        <v>0.14000000000000001</v>
      </c>
      <c r="G363" s="4">
        <v>3</v>
      </c>
      <c r="H363" s="2">
        <v>83992</v>
      </c>
      <c r="I363" s="4" t="s">
        <v>2</v>
      </c>
      <c r="J363" s="4" t="s">
        <v>2</v>
      </c>
      <c r="K363" s="5">
        <v>43641</v>
      </c>
      <c r="L363" s="3">
        <f t="shared" ca="1" si="5"/>
        <v>4.8861111111111111</v>
      </c>
    </row>
    <row r="364" spans="1:12" x14ac:dyDescent="0.25">
      <c r="A364" s="4">
        <v>1176</v>
      </c>
      <c r="B364" s="4" t="s">
        <v>341</v>
      </c>
      <c r="C364" s="4" t="s">
        <v>472</v>
      </c>
      <c r="D364" s="4" t="s">
        <v>10</v>
      </c>
      <c r="E364" s="4" t="s">
        <v>15</v>
      </c>
      <c r="F364" s="6">
        <v>0.64</v>
      </c>
      <c r="G364" s="4">
        <v>4</v>
      </c>
      <c r="H364" s="2">
        <v>256990</v>
      </c>
      <c r="I364" s="4" t="s">
        <v>2</v>
      </c>
      <c r="J364" s="4" t="s">
        <v>1</v>
      </c>
      <c r="K364" s="5">
        <v>43419</v>
      </c>
      <c r="L364" s="3">
        <f t="shared" ca="1" si="5"/>
        <v>5.4972222222222218</v>
      </c>
    </row>
    <row r="365" spans="1:12" x14ac:dyDescent="0.25">
      <c r="A365" s="4">
        <v>1178</v>
      </c>
      <c r="B365" s="4" t="s">
        <v>78</v>
      </c>
      <c r="C365" s="4" t="s">
        <v>482</v>
      </c>
      <c r="D365" s="4" t="s">
        <v>8</v>
      </c>
      <c r="E365" s="4" t="s">
        <v>21</v>
      </c>
      <c r="F365" s="6">
        <v>0.41</v>
      </c>
      <c r="G365" s="4">
        <v>2</v>
      </c>
      <c r="H365" s="2">
        <v>80925</v>
      </c>
      <c r="I365" s="4" t="s">
        <v>2</v>
      </c>
      <c r="J365" s="4" t="s">
        <v>1</v>
      </c>
      <c r="K365" s="5">
        <v>43665</v>
      </c>
      <c r="L365" s="3">
        <f t="shared" ca="1" si="5"/>
        <v>4.8194444444444446</v>
      </c>
    </row>
    <row r="366" spans="1:12" x14ac:dyDescent="0.25">
      <c r="A366" s="4">
        <v>1179</v>
      </c>
      <c r="B366" s="4" t="s">
        <v>342</v>
      </c>
      <c r="C366" s="4" t="s">
        <v>456</v>
      </c>
      <c r="D366" s="4" t="s">
        <v>14</v>
      </c>
      <c r="E366" s="4" t="s">
        <v>15</v>
      </c>
      <c r="F366" s="6">
        <v>0.12</v>
      </c>
      <c r="G366" s="4">
        <v>2</v>
      </c>
      <c r="H366" s="2">
        <v>227608</v>
      </c>
      <c r="I366" s="4" t="s">
        <v>2</v>
      </c>
      <c r="J366" s="4" t="s">
        <v>2</v>
      </c>
      <c r="K366" s="5">
        <v>43144</v>
      </c>
      <c r="L366" s="3">
        <f t="shared" ca="1" si="5"/>
        <v>6.2527777777777782</v>
      </c>
    </row>
    <row r="367" spans="1:12" x14ac:dyDescent="0.25">
      <c r="A367" s="4">
        <v>1180</v>
      </c>
      <c r="B367" s="4" t="s">
        <v>343</v>
      </c>
      <c r="C367" s="4" t="s">
        <v>475</v>
      </c>
      <c r="D367" s="4" t="s">
        <v>4</v>
      </c>
      <c r="E367" s="4" t="s">
        <v>17</v>
      </c>
      <c r="F367" s="6">
        <v>0.73</v>
      </c>
      <c r="G367" s="4">
        <v>0</v>
      </c>
      <c r="H367" s="2">
        <v>187678</v>
      </c>
      <c r="I367" s="4" t="s">
        <v>2</v>
      </c>
      <c r="J367" s="4" t="s">
        <v>1</v>
      </c>
      <c r="K367" s="5">
        <v>44047</v>
      </c>
      <c r="L367" s="3">
        <f t="shared" ca="1" si="5"/>
        <v>3.7777777777777777</v>
      </c>
    </row>
    <row r="368" spans="1:12" x14ac:dyDescent="0.25">
      <c r="A368" s="4">
        <v>1182</v>
      </c>
      <c r="B368" s="4" t="s">
        <v>344</v>
      </c>
      <c r="C368" s="4" t="s">
        <v>477</v>
      </c>
      <c r="D368" s="4" t="s">
        <v>14</v>
      </c>
      <c r="E368" s="4" t="s">
        <v>16</v>
      </c>
      <c r="F368" s="6">
        <v>0.35</v>
      </c>
      <c r="G368" s="4">
        <v>0</v>
      </c>
      <c r="H368" s="2">
        <v>244857</v>
      </c>
      <c r="I368" s="4" t="s">
        <v>2</v>
      </c>
      <c r="J368" s="4" t="s">
        <v>1</v>
      </c>
      <c r="K368" s="5">
        <v>43110</v>
      </c>
      <c r="L368" s="3">
        <f t="shared" ca="1" si="5"/>
        <v>6.3444444444444441</v>
      </c>
    </row>
    <row r="369" spans="1:12" x14ac:dyDescent="0.25">
      <c r="A369" s="4">
        <v>1183</v>
      </c>
      <c r="B369" s="4" t="s">
        <v>277</v>
      </c>
      <c r="C369" s="4" t="s">
        <v>447</v>
      </c>
      <c r="D369" s="4" t="s">
        <v>9</v>
      </c>
      <c r="E369" s="4" t="s">
        <v>3</v>
      </c>
      <c r="F369" s="6">
        <v>0.75</v>
      </c>
      <c r="G369" s="4">
        <v>4</v>
      </c>
      <c r="H369" s="2">
        <v>108679</v>
      </c>
      <c r="I369" s="4" t="s">
        <v>2</v>
      </c>
      <c r="J369" s="4" t="s">
        <v>1</v>
      </c>
      <c r="K369" s="5">
        <v>42893</v>
      </c>
      <c r="L369" s="3">
        <f t="shared" ca="1" si="5"/>
        <v>6.9361111111111109</v>
      </c>
    </row>
    <row r="370" spans="1:12" x14ac:dyDescent="0.25">
      <c r="A370" s="4">
        <v>1184</v>
      </c>
      <c r="B370" s="4" t="s">
        <v>345</v>
      </c>
      <c r="C370" s="4" t="s">
        <v>462</v>
      </c>
      <c r="D370" s="4" t="s">
        <v>14</v>
      </c>
      <c r="E370" s="4" t="s">
        <v>20</v>
      </c>
      <c r="F370" s="6">
        <v>0.88</v>
      </c>
      <c r="G370" s="4">
        <v>4</v>
      </c>
      <c r="H370" s="2">
        <v>223127</v>
      </c>
      <c r="I370" s="4" t="s">
        <v>2</v>
      </c>
      <c r="J370" s="4" t="s">
        <v>1</v>
      </c>
      <c r="K370" s="5">
        <v>42859</v>
      </c>
      <c r="L370" s="3">
        <f t="shared" ca="1" si="5"/>
        <v>7.0277777777777777</v>
      </c>
    </row>
    <row r="371" spans="1:12" x14ac:dyDescent="0.25">
      <c r="A371" s="4">
        <v>1185</v>
      </c>
      <c r="B371" s="4" t="s">
        <v>217</v>
      </c>
      <c r="C371" s="4" t="s">
        <v>455</v>
      </c>
      <c r="D371" s="4" t="s">
        <v>14</v>
      </c>
      <c r="E371" s="4" t="s">
        <v>20</v>
      </c>
      <c r="F371" s="6">
        <v>0.57999999999999996</v>
      </c>
      <c r="G371" s="4">
        <v>1</v>
      </c>
      <c r="H371" s="2">
        <v>228939</v>
      </c>
      <c r="I371" s="4" t="s">
        <v>2</v>
      </c>
      <c r="J371" s="4" t="s">
        <v>1</v>
      </c>
      <c r="K371" s="5">
        <v>43460</v>
      </c>
      <c r="L371" s="3">
        <f t="shared" ca="1" si="5"/>
        <v>5.3833333333333337</v>
      </c>
    </row>
    <row r="372" spans="1:12" x14ac:dyDescent="0.25">
      <c r="A372" s="4">
        <v>1186</v>
      </c>
      <c r="B372" s="4" t="s">
        <v>334</v>
      </c>
      <c r="C372" s="4" t="s">
        <v>446</v>
      </c>
      <c r="D372" s="4" t="s">
        <v>14</v>
      </c>
      <c r="E372" s="4" t="s">
        <v>19</v>
      </c>
      <c r="F372" s="6">
        <v>0</v>
      </c>
      <c r="G372" s="4">
        <v>0</v>
      </c>
      <c r="H372" s="2">
        <v>233789</v>
      </c>
      <c r="I372" s="4" t="s">
        <v>2</v>
      </c>
      <c r="J372" s="4" t="s">
        <v>2</v>
      </c>
      <c r="K372" s="5">
        <v>44073</v>
      </c>
      <c r="L372" s="3">
        <f t="shared" ca="1" si="5"/>
        <v>3.7055555555555557</v>
      </c>
    </row>
    <row r="373" spans="1:12" x14ac:dyDescent="0.25">
      <c r="A373" s="4">
        <v>1187</v>
      </c>
      <c r="B373" s="4" t="s">
        <v>356</v>
      </c>
      <c r="C373" s="4" t="s">
        <v>471</v>
      </c>
      <c r="D373" s="4" t="s">
        <v>4</v>
      </c>
      <c r="E373" s="4" t="s">
        <v>21</v>
      </c>
      <c r="F373" s="6">
        <v>0.89</v>
      </c>
      <c r="G373" s="4">
        <v>5</v>
      </c>
      <c r="H373" s="2">
        <v>195113</v>
      </c>
      <c r="I373" s="4" t="s">
        <v>2</v>
      </c>
      <c r="J373" s="4" t="s">
        <v>1</v>
      </c>
      <c r="K373" s="5">
        <v>43748</v>
      </c>
      <c r="L373" s="3">
        <f t="shared" ca="1" si="5"/>
        <v>4.5944444444444441</v>
      </c>
    </row>
    <row r="374" spans="1:12" x14ac:dyDescent="0.25">
      <c r="A374" s="4">
        <v>1188</v>
      </c>
      <c r="B374" s="4" t="s">
        <v>357</v>
      </c>
      <c r="C374" s="4" t="s">
        <v>465</v>
      </c>
      <c r="D374" s="4" t="s">
        <v>14</v>
      </c>
      <c r="E374" s="4" t="s">
        <v>3</v>
      </c>
      <c r="F374" s="6">
        <v>0.7</v>
      </c>
      <c r="G374" s="4">
        <v>3</v>
      </c>
      <c r="H374" s="2">
        <v>241569</v>
      </c>
      <c r="I374" s="4" t="s">
        <v>2</v>
      </c>
      <c r="J374" s="4" t="s">
        <v>1</v>
      </c>
      <c r="K374" s="5">
        <v>43922</v>
      </c>
      <c r="L374" s="3">
        <f t="shared" ca="1" si="5"/>
        <v>4.1194444444444445</v>
      </c>
    </row>
    <row r="375" spans="1:12" x14ac:dyDescent="0.25">
      <c r="A375" s="4">
        <v>1189</v>
      </c>
      <c r="B375" s="4" t="s">
        <v>322</v>
      </c>
      <c r="C375" s="4" t="s">
        <v>485</v>
      </c>
      <c r="D375" s="4" t="s">
        <v>4</v>
      </c>
      <c r="E375" s="4" t="s">
        <v>18</v>
      </c>
      <c r="F375" s="6">
        <v>0.78</v>
      </c>
      <c r="G375" s="4">
        <v>5</v>
      </c>
      <c r="H375" s="2">
        <v>200596</v>
      </c>
      <c r="I375" s="4" t="s">
        <v>2</v>
      </c>
      <c r="J375" s="4" t="s">
        <v>1</v>
      </c>
      <c r="K375" s="5">
        <v>44167</v>
      </c>
      <c r="L375" s="3">
        <f t="shared" ca="1" si="5"/>
        <v>3.45</v>
      </c>
    </row>
    <row r="376" spans="1:12" x14ac:dyDescent="0.25">
      <c r="A376" s="4">
        <v>1190</v>
      </c>
      <c r="B376" s="4" t="s">
        <v>358</v>
      </c>
      <c r="C376" s="4" t="s">
        <v>473</v>
      </c>
      <c r="D376" s="4" t="s">
        <v>8</v>
      </c>
      <c r="E376" s="4" t="s">
        <v>3</v>
      </c>
      <c r="F376" s="6">
        <v>0.73</v>
      </c>
      <c r="G376" s="4">
        <v>1</v>
      </c>
      <c r="H376" s="2">
        <v>83360</v>
      </c>
      <c r="I376" s="4" t="s">
        <v>2</v>
      </c>
      <c r="J376" s="4" t="s">
        <v>2</v>
      </c>
      <c r="K376" s="5">
        <v>43986</v>
      </c>
      <c r="L376" s="3">
        <f t="shared" ca="1" si="5"/>
        <v>3.9444444444444446</v>
      </c>
    </row>
    <row r="377" spans="1:12" x14ac:dyDescent="0.25">
      <c r="A377" s="4">
        <v>1191</v>
      </c>
      <c r="B377" s="4" t="s">
        <v>359</v>
      </c>
      <c r="C377" s="4" t="s">
        <v>437</v>
      </c>
      <c r="D377" s="4" t="s">
        <v>9</v>
      </c>
      <c r="E377" s="4" t="s">
        <v>17</v>
      </c>
      <c r="F377" s="6">
        <v>0.66</v>
      </c>
      <c r="G377" s="4">
        <v>5</v>
      </c>
      <c r="H377" s="2">
        <v>120426</v>
      </c>
      <c r="I377" s="4" t="s">
        <v>2</v>
      </c>
      <c r="J377" s="4" t="s">
        <v>1</v>
      </c>
      <c r="K377" s="5">
        <v>44157</v>
      </c>
      <c r="L377" s="3">
        <f t="shared" ca="1" si="5"/>
        <v>3.4777777777777779</v>
      </c>
    </row>
    <row r="378" spans="1:12" x14ac:dyDescent="0.25">
      <c r="A378" s="4">
        <v>1192</v>
      </c>
      <c r="B378" s="4" t="s">
        <v>360</v>
      </c>
      <c r="C378" s="4" t="s">
        <v>468</v>
      </c>
      <c r="D378" s="4" t="s">
        <v>9</v>
      </c>
      <c r="E378" s="4" t="s">
        <v>20</v>
      </c>
      <c r="F378" s="6">
        <v>0.87</v>
      </c>
      <c r="G378" s="4">
        <v>1</v>
      </c>
      <c r="H378" s="2">
        <v>107454</v>
      </c>
      <c r="I378" s="4" t="s">
        <v>2</v>
      </c>
      <c r="J378" s="4" t="s">
        <v>1</v>
      </c>
      <c r="K378" s="5">
        <v>44003</v>
      </c>
      <c r="L378" s="3">
        <f t="shared" ca="1" si="5"/>
        <v>3.8972222222222221</v>
      </c>
    </row>
    <row r="379" spans="1:12" x14ac:dyDescent="0.25">
      <c r="A379" s="4">
        <v>1193</v>
      </c>
      <c r="B379" s="4" t="s">
        <v>361</v>
      </c>
      <c r="C379" s="4" t="s">
        <v>459</v>
      </c>
      <c r="D379" s="4" t="s">
        <v>14</v>
      </c>
      <c r="E379" s="4" t="s">
        <v>20</v>
      </c>
      <c r="F379" s="6">
        <v>0.66</v>
      </c>
      <c r="G379" s="4">
        <v>3</v>
      </c>
      <c r="H379" s="2">
        <v>245973</v>
      </c>
      <c r="I379" s="4" t="s">
        <v>2</v>
      </c>
      <c r="J379" s="4" t="s">
        <v>1</v>
      </c>
      <c r="K379" s="5">
        <v>43200</v>
      </c>
      <c r="L379" s="3">
        <f t="shared" ca="1" si="5"/>
        <v>6.0944444444444441</v>
      </c>
    </row>
    <row r="380" spans="1:12" x14ac:dyDescent="0.25">
      <c r="A380" s="4">
        <v>1194</v>
      </c>
      <c r="B380" s="4" t="s">
        <v>362</v>
      </c>
      <c r="C380" s="4" t="s">
        <v>484</v>
      </c>
      <c r="D380" s="4" t="s">
        <v>4</v>
      </c>
      <c r="E380" s="4" t="s">
        <v>20</v>
      </c>
      <c r="F380" s="6">
        <v>0.73</v>
      </c>
      <c r="G380" s="4">
        <v>2</v>
      </c>
      <c r="H380" s="2">
        <v>189548</v>
      </c>
      <c r="I380" s="4" t="s">
        <v>2</v>
      </c>
      <c r="J380" s="4" t="s">
        <v>2</v>
      </c>
      <c r="K380" s="5">
        <v>43203</v>
      </c>
      <c r="L380" s="3">
        <f t="shared" ca="1" si="5"/>
        <v>6.0861111111111112</v>
      </c>
    </row>
    <row r="381" spans="1:12" x14ac:dyDescent="0.25">
      <c r="A381" s="4">
        <v>1195</v>
      </c>
      <c r="B381" s="4" t="s">
        <v>172</v>
      </c>
      <c r="C381" s="4" t="s">
        <v>455</v>
      </c>
      <c r="D381" s="4" t="s">
        <v>14</v>
      </c>
      <c r="E381" s="4" t="s">
        <v>18</v>
      </c>
      <c r="F381" s="6">
        <v>0.54</v>
      </c>
      <c r="G381" s="4">
        <v>1</v>
      </c>
      <c r="H381" s="2">
        <v>236545</v>
      </c>
      <c r="I381" s="4" t="s">
        <v>2</v>
      </c>
      <c r="J381" s="4" t="s">
        <v>1</v>
      </c>
      <c r="K381" s="5">
        <v>42844</v>
      </c>
      <c r="L381" s="3">
        <f t="shared" ca="1" si="5"/>
        <v>7.0694444444444446</v>
      </c>
    </row>
    <row r="382" spans="1:12" x14ac:dyDescent="0.25">
      <c r="A382" s="4">
        <v>1196</v>
      </c>
      <c r="B382" s="4" t="s">
        <v>363</v>
      </c>
      <c r="C382" s="4" t="s">
        <v>462</v>
      </c>
      <c r="D382" s="4" t="s">
        <v>10</v>
      </c>
      <c r="E382" s="4" t="s">
        <v>21</v>
      </c>
      <c r="F382" s="6">
        <v>0.06</v>
      </c>
      <c r="G382" s="4">
        <v>2</v>
      </c>
      <c r="H382" s="2">
        <v>259704</v>
      </c>
      <c r="I382" s="4" t="s">
        <v>2</v>
      </c>
      <c r="J382" s="4" t="s">
        <v>2</v>
      </c>
      <c r="K382" s="5">
        <v>43400</v>
      </c>
      <c r="L382" s="3">
        <f t="shared" ca="1" si="5"/>
        <v>5.5472222222222225</v>
      </c>
    </row>
    <row r="383" spans="1:12" x14ac:dyDescent="0.25">
      <c r="A383" s="4">
        <v>1197</v>
      </c>
      <c r="B383" s="4" t="s">
        <v>260</v>
      </c>
      <c r="C383" s="4" t="s">
        <v>436</v>
      </c>
      <c r="D383" s="4" t="s">
        <v>8</v>
      </c>
      <c r="E383" s="4" t="s">
        <v>20</v>
      </c>
      <c r="F383" s="6">
        <v>0.81</v>
      </c>
      <c r="G383" s="4">
        <v>5</v>
      </c>
      <c r="H383" s="2">
        <v>71955</v>
      </c>
      <c r="I383" s="4" t="s">
        <v>2</v>
      </c>
      <c r="J383" s="4" t="s">
        <v>1</v>
      </c>
      <c r="K383" s="5">
        <v>43764</v>
      </c>
      <c r="L383" s="3">
        <f t="shared" ca="1" si="5"/>
        <v>4.55</v>
      </c>
    </row>
    <row r="384" spans="1:12" x14ac:dyDescent="0.25">
      <c r="A384" s="4">
        <v>1198</v>
      </c>
      <c r="B384" s="4" t="s">
        <v>364</v>
      </c>
      <c r="C384" s="4" t="s">
        <v>456</v>
      </c>
      <c r="D384" s="4" t="s">
        <v>8</v>
      </c>
      <c r="E384" s="4" t="s">
        <v>21</v>
      </c>
      <c r="F384" s="6">
        <v>0.77</v>
      </c>
      <c r="G384" s="4">
        <v>1</v>
      </c>
      <c r="H384" s="2">
        <v>69932</v>
      </c>
      <c r="I384" s="4" t="s">
        <v>2</v>
      </c>
      <c r="J384" s="4" t="s">
        <v>1</v>
      </c>
      <c r="K384" s="5">
        <v>43619</v>
      </c>
      <c r="L384" s="3">
        <f t="shared" ca="1" si="5"/>
        <v>4.947222222222222</v>
      </c>
    </row>
    <row r="385" spans="1:12" x14ac:dyDescent="0.25">
      <c r="A385" s="4">
        <v>1199</v>
      </c>
      <c r="B385" s="4" t="s">
        <v>250</v>
      </c>
      <c r="C385" s="4" t="s">
        <v>448</v>
      </c>
      <c r="D385" s="4" t="s">
        <v>8</v>
      </c>
      <c r="E385" s="4" t="s">
        <v>3</v>
      </c>
      <c r="F385" s="6">
        <v>0.63</v>
      </c>
      <c r="G385" s="4">
        <v>2</v>
      </c>
      <c r="H385" s="2">
        <v>82420</v>
      </c>
      <c r="I385" s="4" t="s">
        <v>2</v>
      </c>
      <c r="J385" s="4" t="s">
        <v>1</v>
      </c>
      <c r="K385" s="5">
        <v>43395</v>
      </c>
      <c r="L385" s="3">
        <f t="shared" ca="1" si="5"/>
        <v>5.5611111111111109</v>
      </c>
    </row>
    <row r="386" spans="1:12" x14ac:dyDescent="0.25">
      <c r="A386" s="4">
        <v>1200</v>
      </c>
      <c r="B386" s="4" t="s">
        <v>365</v>
      </c>
      <c r="C386" s="4" t="s">
        <v>469</v>
      </c>
      <c r="D386" s="4" t="s">
        <v>4</v>
      </c>
      <c r="E386" s="4" t="s">
        <v>19</v>
      </c>
      <c r="F386" s="6">
        <v>0</v>
      </c>
      <c r="G386" s="4">
        <v>0</v>
      </c>
      <c r="H386" s="2">
        <v>196692</v>
      </c>
      <c r="I386" s="4" t="s">
        <v>2</v>
      </c>
      <c r="J386" s="4" t="s">
        <v>2</v>
      </c>
      <c r="K386" s="5">
        <v>43193</v>
      </c>
      <c r="L386" s="3">
        <f t="shared" ca="1" si="5"/>
        <v>6.1138888888888889</v>
      </c>
    </row>
    <row r="387" spans="1:12" x14ac:dyDescent="0.25">
      <c r="A387" s="4">
        <v>1202</v>
      </c>
      <c r="B387" s="4" t="s">
        <v>366</v>
      </c>
      <c r="C387" s="4" t="s">
        <v>471</v>
      </c>
      <c r="D387" s="4" t="s">
        <v>8</v>
      </c>
      <c r="E387" s="4" t="s">
        <v>3</v>
      </c>
      <c r="F387" s="6">
        <v>0.81</v>
      </c>
      <c r="G387" s="4">
        <v>2</v>
      </c>
      <c r="H387" s="2">
        <v>79204</v>
      </c>
      <c r="I387" s="4" t="s">
        <v>2</v>
      </c>
      <c r="J387" s="4" t="s">
        <v>2</v>
      </c>
      <c r="K387" s="5">
        <v>43754</v>
      </c>
      <c r="L387" s="3">
        <f t="shared" ref="L387:L450" ca="1" si="6">YEARFRAC(K387,TODAY())</f>
        <v>4.5777777777777775</v>
      </c>
    </row>
    <row r="388" spans="1:12" x14ac:dyDescent="0.25">
      <c r="A388" s="4">
        <v>1204</v>
      </c>
      <c r="B388" s="4" t="s">
        <v>367</v>
      </c>
      <c r="C388" s="4" t="s">
        <v>465</v>
      </c>
      <c r="D388" s="4" t="s">
        <v>14</v>
      </c>
      <c r="E388" s="4" t="s">
        <v>19</v>
      </c>
      <c r="F388" s="6">
        <v>0</v>
      </c>
      <c r="G388" s="4">
        <v>3</v>
      </c>
      <c r="H388" s="2">
        <v>237432</v>
      </c>
      <c r="I388" s="4" t="s">
        <v>2</v>
      </c>
      <c r="J388" s="4" t="s">
        <v>2</v>
      </c>
      <c r="K388" s="5">
        <v>43223</v>
      </c>
      <c r="L388" s="3">
        <f t="shared" ca="1" si="6"/>
        <v>6.0305555555555559</v>
      </c>
    </row>
    <row r="389" spans="1:12" x14ac:dyDescent="0.25">
      <c r="A389" s="4">
        <v>1205</v>
      </c>
      <c r="B389" s="4" t="s">
        <v>368</v>
      </c>
      <c r="C389" s="4" t="s">
        <v>444</v>
      </c>
      <c r="D389" s="4" t="s">
        <v>8</v>
      </c>
      <c r="E389" s="4" t="s">
        <v>15</v>
      </c>
      <c r="F389" s="6">
        <v>0.66</v>
      </c>
      <c r="G389" s="4">
        <v>5</v>
      </c>
      <c r="H389" s="2">
        <v>84597</v>
      </c>
      <c r="I389" s="4" t="s">
        <v>2</v>
      </c>
      <c r="J389" s="4" t="s">
        <v>1</v>
      </c>
      <c r="K389" s="5">
        <v>43469</v>
      </c>
      <c r="L389" s="3">
        <f t="shared" ca="1" si="6"/>
        <v>5.3611111111111107</v>
      </c>
    </row>
    <row r="390" spans="1:12" x14ac:dyDescent="0.25">
      <c r="A390" s="4">
        <v>1206</v>
      </c>
      <c r="B390" s="4" t="s">
        <v>369</v>
      </c>
      <c r="C390" s="4" t="s">
        <v>442</v>
      </c>
      <c r="D390" s="4" t="s">
        <v>14</v>
      </c>
      <c r="E390" s="4" t="s">
        <v>15</v>
      </c>
      <c r="F390" s="6">
        <v>0.55000000000000004</v>
      </c>
      <c r="G390" s="4">
        <v>5</v>
      </c>
      <c r="H390" s="2">
        <v>235909</v>
      </c>
      <c r="I390" s="4" t="s">
        <v>2</v>
      </c>
      <c r="J390" s="4" t="s">
        <v>1</v>
      </c>
      <c r="K390" s="5">
        <v>43692</v>
      </c>
      <c r="L390" s="3">
        <f t="shared" ca="1" si="6"/>
        <v>4.7472222222222218</v>
      </c>
    </row>
    <row r="391" spans="1:12" x14ac:dyDescent="0.25">
      <c r="A391" s="4">
        <v>1207</v>
      </c>
      <c r="B391" s="4" t="s">
        <v>298</v>
      </c>
      <c r="C391" s="4" t="s">
        <v>441</v>
      </c>
      <c r="D391" s="4" t="s">
        <v>14</v>
      </c>
      <c r="E391" s="4" t="s">
        <v>19</v>
      </c>
      <c r="F391" s="6">
        <v>0</v>
      </c>
      <c r="G391" s="4">
        <v>0</v>
      </c>
      <c r="H391" s="2">
        <v>237907</v>
      </c>
      <c r="I391" s="4" t="s">
        <v>2</v>
      </c>
      <c r="J391" s="4" t="s">
        <v>2</v>
      </c>
      <c r="K391" s="5">
        <v>44098</v>
      </c>
      <c r="L391" s="3">
        <f t="shared" ca="1" si="6"/>
        <v>3.6388888888888888</v>
      </c>
    </row>
    <row r="392" spans="1:12" x14ac:dyDescent="0.25">
      <c r="A392" s="4">
        <v>1208</v>
      </c>
      <c r="B392" s="4" t="s">
        <v>296</v>
      </c>
      <c r="C392" s="4" t="s">
        <v>481</v>
      </c>
      <c r="D392" s="4" t="s">
        <v>8</v>
      </c>
      <c r="E392" s="4" t="s">
        <v>17</v>
      </c>
      <c r="F392" s="6">
        <v>0.64</v>
      </c>
      <c r="G392" s="4">
        <v>4</v>
      </c>
      <c r="H392" s="2">
        <v>74553</v>
      </c>
      <c r="I392" s="4" t="s">
        <v>2</v>
      </c>
      <c r="J392" s="4" t="s">
        <v>1</v>
      </c>
      <c r="K392" s="5">
        <v>43211</v>
      </c>
      <c r="L392" s="3">
        <f t="shared" ca="1" si="6"/>
        <v>6.0638888888888891</v>
      </c>
    </row>
    <row r="393" spans="1:12" x14ac:dyDescent="0.25">
      <c r="A393" s="4">
        <v>1209</v>
      </c>
      <c r="B393" s="4" t="s">
        <v>281</v>
      </c>
      <c r="C393" s="4" t="s">
        <v>485</v>
      </c>
      <c r="D393" s="4" t="s">
        <v>10</v>
      </c>
      <c r="E393" s="4" t="s">
        <v>3</v>
      </c>
      <c r="F393" s="6">
        <v>0.81</v>
      </c>
      <c r="G393" s="4">
        <v>1</v>
      </c>
      <c r="H393" s="2">
        <v>266473</v>
      </c>
      <c r="I393" s="4" t="s">
        <v>2</v>
      </c>
      <c r="J393" s="4" t="s">
        <v>1</v>
      </c>
      <c r="K393" s="5">
        <v>43101</v>
      </c>
      <c r="L393" s="3">
        <f t="shared" ca="1" si="6"/>
        <v>6.3694444444444445</v>
      </c>
    </row>
    <row r="394" spans="1:12" x14ac:dyDescent="0.25">
      <c r="A394" s="4">
        <v>1210</v>
      </c>
      <c r="B394" s="4" t="s">
        <v>370</v>
      </c>
      <c r="C394" s="4" t="s">
        <v>477</v>
      </c>
      <c r="D394" s="4" t="s">
        <v>9</v>
      </c>
      <c r="E394" s="4" t="s">
        <v>21</v>
      </c>
      <c r="F394" s="6">
        <v>0.12</v>
      </c>
      <c r="G394" s="4">
        <v>1</v>
      </c>
      <c r="H394" s="2">
        <v>136371</v>
      </c>
      <c r="I394" s="4" t="s">
        <v>2</v>
      </c>
      <c r="J394" s="4" t="s">
        <v>2</v>
      </c>
      <c r="K394" s="5">
        <v>43455</v>
      </c>
      <c r="L394" s="3">
        <f t="shared" ca="1" si="6"/>
        <v>5.3972222222222221</v>
      </c>
    </row>
    <row r="395" spans="1:12" x14ac:dyDescent="0.25">
      <c r="A395" s="4">
        <v>1211</v>
      </c>
      <c r="B395" s="4" t="s">
        <v>371</v>
      </c>
      <c r="C395" s="4" t="s">
        <v>472</v>
      </c>
      <c r="D395" s="4" t="s">
        <v>14</v>
      </c>
      <c r="E395" s="4" t="s">
        <v>20</v>
      </c>
      <c r="F395" s="6">
        <v>0.77</v>
      </c>
      <c r="G395" s="4">
        <v>0</v>
      </c>
      <c r="H395" s="2">
        <v>236093</v>
      </c>
      <c r="I395" s="4" t="s">
        <v>2</v>
      </c>
      <c r="J395" s="4" t="s">
        <v>2</v>
      </c>
      <c r="K395" s="5">
        <v>43679</v>
      </c>
      <c r="L395" s="3">
        <f t="shared" ca="1" si="6"/>
        <v>4.7833333333333332</v>
      </c>
    </row>
    <row r="396" spans="1:12" x14ac:dyDescent="0.25">
      <c r="A396" s="4">
        <v>1212</v>
      </c>
      <c r="B396" s="4" t="s">
        <v>372</v>
      </c>
      <c r="C396" s="4" t="s">
        <v>473</v>
      </c>
      <c r="D396" s="4" t="s">
        <v>8</v>
      </c>
      <c r="E396" s="4" t="s">
        <v>18</v>
      </c>
      <c r="F396" s="6">
        <v>0.8</v>
      </c>
      <c r="G396" s="4">
        <v>5</v>
      </c>
      <c r="H396" s="2">
        <v>72047</v>
      </c>
      <c r="I396" s="4" t="s">
        <v>2</v>
      </c>
      <c r="J396" s="4" t="s">
        <v>1</v>
      </c>
      <c r="K396" s="5">
        <v>43912</v>
      </c>
      <c r="L396" s="3">
        <f t="shared" ca="1" si="6"/>
        <v>4.1444444444444448</v>
      </c>
    </row>
    <row r="397" spans="1:12" x14ac:dyDescent="0.25">
      <c r="A397" s="4">
        <v>1213</v>
      </c>
      <c r="B397" s="4" t="s">
        <v>373</v>
      </c>
      <c r="C397" s="4" t="s">
        <v>479</v>
      </c>
      <c r="D397" s="4" t="s">
        <v>9</v>
      </c>
      <c r="E397" s="4" t="s">
        <v>16</v>
      </c>
      <c r="F397" s="6">
        <v>0.93</v>
      </c>
      <c r="G397" s="4">
        <v>0</v>
      </c>
      <c r="H397" s="2">
        <v>130774</v>
      </c>
      <c r="I397" s="4" t="s">
        <v>2</v>
      </c>
      <c r="J397" s="4" t="s">
        <v>1</v>
      </c>
      <c r="K397" s="5">
        <v>43637</v>
      </c>
      <c r="L397" s="3">
        <f t="shared" ca="1" si="6"/>
        <v>4.8972222222222221</v>
      </c>
    </row>
    <row r="398" spans="1:12" x14ac:dyDescent="0.25">
      <c r="A398" s="4">
        <v>1214</v>
      </c>
      <c r="B398" s="4" t="s">
        <v>374</v>
      </c>
      <c r="C398" s="4" t="s">
        <v>447</v>
      </c>
      <c r="D398" s="4" t="s">
        <v>4</v>
      </c>
      <c r="E398" s="4" t="s">
        <v>3</v>
      </c>
      <c r="F398" s="6">
        <v>0.85</v>
      </c>
      <c r="G398" s="4">
        <v>5</v>
      </c>
      <c r="H398" s="2">
        <v>180238</v>
      </c>
      <c r="I398" s="4" t="s">
        <v>2</v>
      </c>
      <c r="J398" s="4" t="s">
        <v>1</v>
      </c>
      <c r="K398" s="5">
        <v>43174</v>
      </c>
      <c r="L398" s="3">
        <f t="shared" ca="1" si="6"/>
        <v>6.1638888888888888</v>
      </c>
    </row>
    <row r="399" spans="1:12" x14ac:dyDescent="0.25">
      <c r="A399" s="4">
        <v>1215</v>
      </c>
      <c r="B399" s="4" t="s">
        <v>375</v>
      </c>
      <c r="C399" s="4" t="s">
        <v>480</v>
      </c>
      <c r="D399" s="4" t="s">
        <v>8</v>
      </c>
      <c r="E399" s="4" t="s">
        <v>21</v>
      </c>
      <c r="F399" s="6">
        <v>0.87</v>
      </c>
      <c r="G399" s="4">
        <v>2</v>
      </c>
      <c r="H399" s="2">
        <v>87002</v>
      </c>
      <c r="I399" s="4" t="s">
        <v>2</v>
      </c>
      <c r="J399" s="4" t="s">
        <v>2</v>
      </c>
      <c r="K399" s="5">
        <v>42932</v>
      </c>
      <c r="L399" s="3">
        <f t="shared" ca="1" si="6"/>
        <v>6.8277777777777775</v>
      </c>
    </row>
    <row r="400" spans="1:12" x14ac:dyDescent="0.25">
      <c r="A400" s="4">
        <v>1216</v>
      </c>
      <c r="B400" s="4" t="s">
        <v>376</v>
      </c>
      <c r="C400" s="4" t="s">
        <v>454</v>
      </c>
      <c r="D400" s="4" t="s">
        <v>10</v>
      </c>
      <c r="E400" s="4" t="s">
        <v>20</v>
      </c>
      <c r="F400" s="6">
        <v>0.77</v>
      </c>
      <c r="G400" s="4">
        <v>0</v>
      </c>
      <c r="H400" s="2">
        <v>258451</v>
      </c>
      <c r="I400" s="4" t="s">
        <v>2</v>
      </c>
      <c r="J400" s="4" t="s">
        <v>1</v>
      </c>
      <c r="K400" s="5">
        <v>43387</v>
      </c>
      <c r="L400" s="3">
        <f t="shared" ca="1" si="6"/>
        <v>5.583333333333333</v>
      </c>
    </row>
    <row r="401" spans="1:12" x14ac:dyDescent="0.25">
      <c r="A401" s="4">
        <v>1217</v>
      </c>
      <c r="B401" s="4" t="s">
        <v>377</v>
      </c>
      <c r="C401" s="4" t="s">
        <v>459</v>
      </c>
      <c r="D401" s="4" t="s">
        <v>8</v>
      </c>
      <c r="E401" s="4" t="s">
        <v>17</v>
      </c>
      <c r="F401" s="6">
        <v>0.83</v>
      </c>
      <c r="G401" s="4">
        <v>1</v>
      </c>
      <c r="H401" s="2">
        <v>61829</v>
      </c>
      <c r="I401" s="4" t="s">
        <v>2</v>
      </c>
      <c r="J401" s="4" t="s">
        <v>1</v>
      </c>
      <c r="K401" s="5">
        <v>42969</v>
      </c>
      <c r="L401" s="3">
        <f t="shared" ca="1" si="6"/>
        <v>6.7277777777777779</v>
      </c>
    </row>
    <row r="402" spans="1:12" x14ac:dyDescent="0.25">
      <c r="A402" s="4">
        <v>1218</v>
      </c>
      <c r="B402" s="4" t="s">
        <v>378</v>
      </c>
      <c r="C402" s="4" t="s">
        <v>467</v>
      </c>
      <c r="D402" s="4" t="s">
        <v>8</v>
      </c>
      <c r="E402" s="4" t="s">
        <v>18</v>
      </c>
      <c r="F402" s="6">
        <v>0.09</v>
      </c>
      <c r="G402" s="4">
        <v>1</v>
      </c>
      <c r="H402" s="2">
        <v>74981</v>
      </c>
      <c r="I402" s="4" t="s">
        <v>2</v>
      </c>
      <c r="J402" s="4" t="s">
        <v>2</v>
      </c>
      <c r="K402" s="5">
        <v>44025</v>
      </c>
      <c r="L402" s="3">
        <f t="shared" ca="1" si="6"/>
        <v>3.8361111111111112</v>
      </c>
    </row>
    <row r="403" spans="1:12" x14ac:dyDescent="0.25">
      <c r="A403" s="4">
        <v>1219</v>
      </c>
      <c r="B403" s="4" t="s">
        <v>379</v>
      </c>
      <c r="C403" s="4" t="s">
        <v>458</v>
      </c>
      <c r="D403" s="4" t="s">
        <v>4</v>
      </c>
      <c r="E403" s="4" t="s">
        <v>3</v>
      </c>
      <c r="F403" s="6">
        <v>0.47</v>
      </c>
      <c r="G403" s="4">
        <v>1</v>
      </c>
      <c r="H403" s="2">
        <v>200025</v>
      </c>
      <c r="I403" s="4" t="s">
        <v>2</v>
      </c>
      <c r="J403" s="4" t="s">
        <v>1</v>
      </c>
      <c r="K403" s="5">
        <v>43394</v>
      </c>
      <c r="L403" s="3">
        <f t="shared" ca="1" si="6"/>
        <v>5.5638888888888891</v>
      </c>
    </row>
    <row r="404" spans="1:12" x14ac:dyDescent="0.25">
      <c r="A404" s="4">
        <v>1221</v>
      </c>
      <c r="B404" s="4" t="s">
        <v>380</v>
      </c>
      <c r="C404" s="4" t="s">
        <v>476</v>
      </c>
      <c r="D404" s="4" t="s">
        <v>14</v>
      </c>
      <c r="E404" s="4" t="s">
        <v>17</v>
      </c>
      <c r="F404" s="6">
        <v>0.33</v>
      </c>
      <c r="G404" s="4">
        <v>5</v>
      </c>
      <c r="H404" s="2">
        <v>244139</v>
      </c>
      <c r="I404" s="4" t="s">
        <v>2</v>
      </c>
      <c r="J404" s="4" t="s">
        <v>1</v>
      </c>
      <c r="K404" s="5">
        <v>43250</v>
      </c>
      <c r="L404" s="3">
        <f t="shared" ca="1" si="6"/>
        <v>5.9555555555555557</v>
      </c>
    </row>
    <row r="405" spans="1:12" x14ac:dyDescent="0.25">
      <c r="A405" s="4">
        <v>1222</v>
      </c>
      <c r="B405" s="4" t="s">
        <v>381</v>
      </c>
      <c r="C405" s="4" t="s">
        <v>449</v>
      </c>
      <c r="D405" s="4" t="s">
        <v>4</v>
      </c>
      <c r="E405" s="4" t="s">
        <v>20</v>
      </c>
      <c r="F405" s="6">
        <v>0.94</v>
      </c>
      <c r="G405" s="4">
        <v>2</v>
      </c>
      <c r="H405" s="2">
        <v>197923</v>
      </c>
      <c r="I405" s="4" t="s">
        <v>2</v>
      </c>
      <c r="J405" s="4" t="s">
        <v>1</v>
      </c>
      <c r="K405" s="5">
        <v>43555</v>
      </c>
      <c r="L405" s="3">
        <f t="shared" ca="1" si="6"/>
        <v>5.1222222222222218</v>
      </c>
    </row>
    <row r="406" spans="1:12" x14ac:dyDescent="0.25">
      <c r="A406" s="4">
        <v>1223</v>
      </c>
      <c r="B406" s="4" t="s">
        <v>382</v>
      </c>
      <c r="C406" s="4" t="s">
        <v>466</v>
      </c>
      <c r="D406" s="4" t="s">
        <v>4</v>
      </c>
      <c r="E406" s="4" t="s">
        <v>3</v>
      </c>
      <c r="F406" s="6">
        <v>0.36</v>
      </c>
      <c r="G406" s="4">
        <v>5</v>
      </c>
      <c r="H406" s="2">
        <v>183659</v>
      </c>
      <c r="I406" s="4" t="s">
        <v>2</v>
      </c>
      <c r="J406" s="4" t="s">
        <v>1</v>
      </c>
      <c r="K406" s="5">
        <v>43396</v>
      </c>
      <c r="L406" s="3">
        <f t="shared" ca="1" si="6"/>
        <v>5.5583333333333336</v>
      </c>
    </row>
    <row r="407" spans="1:12" x14ac:dyDescent="0.25">
      <c r="A407" s="4">
        <v>1224</v>
      </c>
      <c r="B407" s="4" t="s">
        <v>158</v>
      </c>
      <c r="C407" s="4" t="s">
        <v>462</v>
      </c>
      <c r="D407" s="4" t="s">
        <v>10</v>
      </c>
      <c r="E407" s="4" t="s">
        <v>3</v>
      </c>
      <c r="F407" s="6">
        <v>0.66</v>
      </c>
      <c r="G407" s="4">
        <v>3</v>
      </c>
      <c r="H407" s="2">
        <v>270674</v>
      </c>
      <c r="I407" s="4" t="s">
        <v>2</v>
      </c>
      <c r="J407" s="4" t="s">
        <v>2</v>
      </c>
      <c r="K407" s="5">
        <v>43045</v>
      </c>
      <c r="L407" s="3">
        <f t="shared" ca="1" si="6"/>
        <v>6.5222222222222221</v>
      </c>
    </row>
    <row r="408" spans="1:12" x14ac:dyDescent="0.25">
      <c r="A408" s="4">
        <v>1225</v>
      </c>
      <c r="B408" s="4" t="s">
        <v>383</v>
      </c>
      <c r="C408" s="4" t="s">
        <v>464</v>
      </c>
      <c r="D408" s="4" t="s">
        <v>4</v>
      </c>
      <c r="E408" s="4" t="s">
        <v>19</v>
      </c>
      <c r="F408" s="6">
        <v>0</v>
      </c>
      <c r="G408" s="4">
        <v>4</v>
      </c>
      <c r="H408" s="2">
        <v>184703</v>
      </c>
      <c r="I408" s="4" t="s">
        <v>2</v>
      </c>
      <c r="J408" s="4" t="s">
        <v>1</v>
      </c>
      <c r="K408" s="5">
        <v>43835</v>
      </c>
      <c r="L408" s="3">
        <f t="shared" ca="1" si="6"/>
        <v>4.3583333333333334</v>
      </c>
    </row>
    <row r="409" spans="1:12" x14ac:dyDescent="0.25">
      <c r="A409" s="4">
        <v>1226</v>
      </c>
      <c r="B409" s="4" t="s">
        <v>377</v>
      </c>
      <c r="C409" s="4" t="s">
        <v>457</v>
      </c>
      <c r="D409" s="4" t="s">
        <v>14</v>
      </c>
      <c r="E409" s="4" t="s">
        <v>17</v>
      </c>
      <c r="F409" s="6">
        <v>0.66</v>
      </c>
      <c r="G409" s="4">
        <v>5</v>
      </c>
      <c r="H409" s="2">
        <v>241085</v>
      </c>
      <c r="I409" s="4" t="s">
        <v>2</v>
      </c>
      <c r="J409" s="4" t="s">
        <v>1</v>
      </c>
      <c r="K409" s="5">
        <v>43212</v>
      </c>
      <c r="L409" s="3">
        <f t="shared" ca="1" si="6"/>
        <v>6.0611111111111109</v>
      </c>
    </row>
    <row r="410" spans="1:12" x14ac:dyDescent="0.25">
      <c r="A410" s="4">
        <v>1227</v>
      </c>
      <c r="B410" s="4" t="s">
        <v>178</v>
      </c>
      <c r="C410" s="4" t="s">
        <v>478</v>
      </c>
      <c r="D410" s="4" t="s">
        <v>10</v>
      </c>
      <c r="E410" s="4" t="s">
        <v>17</v>
      </c>
      <c r="F410" s="6">
        <v>0.15</v>
      </c>
      <c r="G410" s="4">
        <v>1</v>
      </c>
      <c r="H410" s="2">
        <v>267418</v>
      </c>
      <c r="I410" s="4" t="s">
        <v>2</v>
      </c>
      <c r="J410" s="4" t="s">
        <v>2</v>
      </c>
      <c r="K410" s="5">
        <v>43581</v>
      </c>
      <c r="L410" s="3">
        <f t="shared" ca="1" si="6"/>
        <v>5.05</v>
      </c>
    </row>
    <row r="411" spans="1:12" x14ac:dyDescent="0.25">
      <c r="A411" s="4">
        <v>1228</v>
      </c>
      <c r="B411" s="4" t="s">
        <v>384</v>
      </c>
      <c r="C411" s="4" t="s">
        <v>445</v>
      </c>
      <c r="D411" s="4" t="s">
        <v>4</v>
      </c>
      <c r="E411" s="4" t="s">
        <v>20</v>
      </c>
      <c r="F411" s="6">
        <v>0.62</v>
      </c>
      <c r="G411" s="4">
        <v>1</v>
      </c>
      <c r="H411" s="2">
        <v>198311</v>
      </c>
      <c r="I411" s="4" t="s">
        <v>2</v>
      </c>
      <c r="J411" s="4" t="s">
        <v>2</v>
      </c>
      <c r="K411" s="5">
        <v>43139</v>
      </c>
      <c r="L411" s="3">
        <f t="shared" ca="1" si="6"/>
        <v>6.2666666666666666</v>
      </c>
    </row>
    <row r="412" spans="1:12" x14ac:dyDescent="0.25">
      <c r="A412" s="4">
        <v>1229</v>
      </c>
      <c r="B412" s="4" t="s">
        <v>385</v>
      </c>
      <c r="C412" s="4" t="s">
        <v>484</v>
      </c>
      <c r="D412" s="4" t="s">
        <v>14</v>
      </c>
      <c r="E412" s="4" t="s">
        <v>18</v>
      </c>
      <c r="F412" s="6">
        <v>0.71</v>
      </c>
      <c r="G412" s="4">
        <v>0</v>
      </c>
      <c r="H412" s="2">
        <v>239174</v>
      </c>
      <c r="I412" s="4" t="s">
        <v>2</v>
      </c>
      <c r="J412" s="4" t="s">
        <v>2</v>
      </c>
      <c r="K412" s="5">
        <v>44003</v>
      </c>
      <c r="L412" s="3">
        <f t="shared" ca="1" si="6"/>
        <v>3.8972222222222221</v>
      </c>
    </row>
    <row r="413" spans="1:12" x14ac:dyDescent="0.25">
      <c r="A413" s="4">
        <v>1230</v>
      </c>
      <c r="B413" s="4" t="s">
        <v>386</v>
      </c>
      <c r="C413" s="4" t="s">
        <v>451</v>
      </c>
      <c r="D413" s="4" t="s">
        <v>8</v>
      </c>
      <c r="E413" s="4" t="s">
        <v>21</v>
      </c>
      <c r="F413" s="6">
        <v>0.57999999999999996</v>
      </c>
      <c r="G413" s="4">
        <v>4</v>
      </c>
      <c r="H413" s="2">
        <v>83799</v>
      </c>
      <c r="I413" s="4" t="s">
        <v>2</v>
      </c>
      <c r="J413" s="4" t="s">
        <v>1</v>
      </c>
      <c r="K413" s="5">
        <v>43013</v>
      </c>
      <c r="L413" s="3">
        <f t="shared" ca="1" si="6"/>
        <v>6.6083333333333334</v>
      </c>
    </row>
    <row r="414" spans="1:12" x14ac:dyDescent="0.25">
      <c r="A414" s="4">
        <v>1232</v>
      </c>
      <c r="B414" s="4" t="s">
        <v>387</v>
      </c>
      <c r="C414" s="4" t="s">
        <v>440</v>
      </c>
      <c r="D414" s="4" t="s">
        <v>8</v>
      </c>
      <c r="E414" s="4" t="s">
        <v>17</v>
      </c>
      <c r="F414" s="6">
        <v>0.17</v>
      </c>
      <c r="G414" s="4">
        <v>2</v>
      </c>
      <c r="H414" s="2">
        <v>77986</v>
      </c>
      <c r="I414" s="4" t="s">
        <v>2</v>
      </c>
      <c r="J414" s="4" t="s">
        <v>2</v>
      </c>
      <c r="K414" s="5">
        <v>43701</v>
      </c>
      <c r="L414" s="3">
        <f t="shared" ca="1" si="6"/>
        <v>4.7222222222222223</v>
      </c>
    </row>
    <row r="415" spans="1:12" x14ac:dyDescent="0.25">
      <c r="A415" s="4">
        <v>1233</v>
      </c>
      <c r="B415" s="4" t="s">
        <v>202</v>
      </c>
      <c r="C415" s="4" t="s">
        <v>472</v>
      </c>
      <c r="D415" s="4" t="s">
        <v>4</v>
      </c>
      <c r="E415" s="4" t="s">
        <v>3</v>
      </c>
      <c r="F415" s="6">
        <v>0.99</v>
      </c>
      <c r="G415" s="4">
        <v>3</v>
      </c>
      <c r="H415" s="2">
        <v>205127</v>
      </c>
      <c r="I415" s="4" t="s">
        <v>2</v>
      </c>
      <c r="J415" s="4" t="s">
        <v>2</v>
      </c>
      <c r="K415" s="5">
        <v>44121</v>
      </c>
      <c r="L415" s="3">
        <f t="shared" ca="1" si="6"/>
        <v>3.5750000000000002</v>
      </c>
    </row>
    <row r="416" spans="1:12" x14ac:dyDescent="0.25">
      <c r="A416" s="4">
        <v>1234</v>
      </c>
      <c r="B416" s="4" t="s">
        <v>388</v>
      </c>
      <c r="C416" s="4" t="s">
        <v>463</v>
      </c>
      <c r="D416" s="4" t="s">
        <v>9</v>
      </c>
      <c r="E416" s="4" t="s">
        <v>19</v>
      </c>
      <c r="F416" s="6">
        <v>0</v>
      </c>
      <c r="G416" s="4">
        <v>0</v>
      </c>
      <c r="H416" s="2">
        <v>135081</v>
      </c>
      <c r="I416" s="4" t="s">
        <v>2</v>
      </c>
      <c r="J416" s="4" t="s">
        <v>2</v>
      </c>
      <c r="K416" s="5">
        <v>43240</v>
      </c>
      <c r="L416" s="3">
        <f t="shared" ca="1" si="6"/>
        <v>5.9833333333333334</v>
      </c>
    </row>
    <row r="417" spans="1:12" x14ac:dyDescent="0.25">
      <c r="A417" s="4">
        <v>1235</v>
      </c>
      <c r="B417" s="4" t="s">
        <v>389</v>
      </c>
      <c r="C417" s="4" t="s">
        <v>470</v>
      </c>
      <c r="D417" s="4" t="s">
        <v>14</v>
      </c>
      <c r="E417" s="4" t="s">
        <v>17</v>
      </c>
      <c r="F417" s="6">
        <v>0.85</v>
      </c>
      <c r="G417" s="4">
        <v>2</v>
      </c>
      <c r="H417" s="2">
        <v>229569</v>
      </c>
      <c r="I417" s="4" t="s">
        <v>2</v>
      </c>
      <c r="J417" s="4" t="s">
        <v>1</v>
      </c>
      <c r="K417" s="5">
        <v>43699</v>
      </c>
      <c r="L417" s="3">
        <f t="shared" ca="1" si="6"/>
        <v>4.7277777777777779</v>
      </c>
    </row>
    <row r="418" spans="1:12" x14ac:dyDescent="0.25">
      <c r="A418" s="4">
        <v>1236</v>
      </c>
      <c r="B418" s="4" t="s">
        <v>390</v>
      </c>
      <c r="C418" s="4" t="s">
        <v>442</v>
      </c>
      <c r="D418" s="4" t="s">
        <v>14</v>
      </c>
      <c r="E418" s="4" t="s">
        <v>21</v>
      </c>
      <c r="F418" s="6">
        <v>0.38</v>
      </c>
      <c r="G418" s="4">
        <v>3</v>
      </c>
      <c r="H418" s="2">
        <v>226327</v>
      </c>
      <c r="I418" s="4" t="s">
        <v>2</v>
      </c>
      <c r="J418" s="4" t="s">
        <v>1</v>
      </c>
      <c r="K418" s="5">
        <v>43311</v>
      </c>
      <c r="L418" s="3">
        <f t="shared" ca="1" si="6"/>
        <v>5.7888888888888888</v>
      </c>
    </row>
    <row r="419" spans="1:12" x14ac:dyDescent="0.25">
      <c r="A419" s="4">
        <v>1237</v>
      </c>
      <c r="B419" s="4" t="s">
        <v>391</v>
      </c>
      <c r="C419" s="4" t="s">
        <v>438</v>
      </c>
      <c r="D419" s="4" t="s">
        <v>4</v>
      </c>
      <c r="E419" s="4" t="s">
        <v>21</v>
      </c>
      <c r="F419" s="6">
        <v>0.33</v>
      </c>
      <c r="G419" s="4">
        <v>4</v>
      </c>
      <c r="H419" s="2">
        <v>191223</v>
      </c>
      <c r="I419" s="4" t="s">
        <v>2</v>
      </c>
      <c r="J419" s="4" t="s">
        <v>1</v>
      </c>
      <c r="K419" s="5">
        <v>43004</v>
      </c>
      <c r="L419" s="3">
        <f t="shared" ca="1" si="6"/>
        <v>6.6333333333333337</v>
      </c>
    </row>
    <row r="420" spans="1:12" x14ac:dyDescent="0.25">
      <c r="A420" s="4">
        <v>1238</v>
      </c>
      <c r="B420" s="4" t="s">
        <v>392</v>
      </c>
      <c r="C420" s="4" t="s">
        <v>455</v>
      </c>
      <c r="D420" s="4" t="s">
        <v>8</v>
      </c>
      <c r="E420" s="4" t="s">
        <v>18</v>
      </c>
      <c r="F420" s="6">
        <v>0.15</v>
      </c>
      <c r="G420" s="4">
        <v>1</v>
      </c>
      <c r="H420" s="2">
        <v>68328</v>
      </c>
      <c r="I420" s="4" t="s">
        <v>2</v>
      </c>
      <c r="J420" s="4" t="s">
        <v>2</v>
      </c>
      <c r="K420" s="5">
        <v>43229</v>
      </c>
      <c r="L420" s="3">
        <f t="shared" ca="1" si="6"/>
        <v>6.0138888888888893</v>
      </c>
    </row>
    <row r="421" spans="1:12" x14ac:dyDescent="0.25">
      <c r="A421" s="4">
        <v>1239</v>
      </c>
      <c r="B421" s="4" t="s">
        <v>393</v>
      </c>
      <c r="C421" s="4" t="s">
        <v>453</v>
      </c>
      <c r="D421" s="4" t="s">
        <v>9</v>
      </c>
      <c r="E421" s="4" t="s">
        <v>15</v>
      </c>
      <c r="F421" s="6">
        <v>0.87</v>
      </c>
      <c r="G421" s="4">
        <v>0</v>
      </c>
      <c r="H421" s="2">
        <v>142014</v>
      </c>
      <c r="I421" s="4" t="s">
        <v>2</v>
      </c>
      <c r="J421" s="4" t="s">
        <v>2</v>
      </c>
      <c r="K421" s="5">
        <v>42859</v>
      </c>
      <c r="L421" s="3">
        <f t="shared" ca="1" si="6"/>
        <v>7.0277777777777777</v>
      </c>
    </row>
    <row r="422" spans="1:12" x14ac:dyDescent="0.25">
      <c r="A422" s="4">
        <v>1240</v>
      </c>
      <c r="B422" s="4" t="s">
        <v>394</v>
      </c>
      <c r="C422" s="4" t="s">
        <v>483</v>
      </c>
      <c r="D422" s="4" t="s">
        <v>10</v>
      </c>
      <c r="E422" s="4" t="s">
        <v>15</v>
      </c>
      <c r="F422" s="6">
        <v>0.44</v>
      </c>
      <c r="G422" s="4">
        <v>3</v>
      </c>
      <c r="H422" s="2">
        <v>273816</v>
      </c>
      <c r="I422" s="4" t="s">
        <v>2</v>
      </c>
      <c r="J422" s="4" t="s">
        <v>1</v>
      </c>
      <c r="K422" s="5">
        <v>43823</v>
      </c>
      <c r="L422" s="3">
        <f t="shared" ca="1" si="6"/>
        <v>4.3888888888888893</v>
      </c>
    </row>
    <row r="423" spans="1:12" x14ac:dyDescent="0.25">
      <c r="A423" s="4">
        <v>1241</v>
      </c>
      <c r="B423" s="4" t="s">
        <v>395</v>
      </c>
      <c r="C423" s="4" t="s">
        <v>479</v>
      </c>
      <c r="D423" s="4" t="s">
        <v>4</v>
      </c>
      <c r="E423" s="4" t="s">
        <v>21</v>
      </c>
      <c r="F423" s="6">
        <v>1</v>
      </c>
      <c r="G423" s="4">
        <v>3</v>
      </c>
      <c r="H423" s="2">
        <v>181339</v>
      </c>
      <c r="I423" s="4" t="s">
        <v>2</v>
      </c>
      <c r="J423" s="4" t="s">
        <v>1</v>
      </c>
      <c r="K423" s="5">
        <v>44104</v>
      </c>
      <c r="L423" s="3">
        <f t="shared" ca="1" si="6"/>
        <v>3.6222222222222222</v>
      </c>
    </row>
    <row r="424" spans="1:12" x14ac:dyDescent="0.25">
      <c r="A424" s="4">
        <v>1244</v>
      </c>
      <c r="B424" s="4" t="s">
        <v>396</v>
      </c>
      <c r="C424" s="4" t="s">
        <v>473</v>
      </c>
      <c r="D424" s="4" t="s">
        <v>14</v>
      </c>
      <c r="E424" s="4" t="s">
        <v>17</v>
      </c>
      <c r="F424" s="6">
        <v>0.9</v>
      </c>
      <c r="G424" s="4">
        <v>1</v>
      </c>
      <c r="H424" s="2">
        <v>243288</v>
      </c>
      <c r="I424" s="4" t="s">
        <v>2</v>
      </c>
      <c r="J424" s="4" t="s">
        <v>2</v>
      </c>
      <c r="K424" s="5">
        <v>43158</v>
      </c>
      <c r="L424" s="3">
        <f t="shared" ca="1" si="6"/>
        <v>6.2138888888888886</v>
      </c>
    </row>
    <row r="425" spans="1:12" x14ac:dyDescent="0.25">
      <c r="A425" s="4">
        <v>1245</v>
      </c>
      <c r="B425" s="4" t="s">
        <v>108</v>
      </c>
      <c r="C425" s="4" t="s">
        <v>460</v>
      </c>
      <c r="D425" s="4" t="s">
        <v>14</v>
      </c>
      <c r="E425" s="4" t="s">
        <v>3</v>
      </c>
      <c r="F425" s="6">
        <v>0.45</v>
      </c>
      <c r="G425" s="4">
        <v>5</v>
      </c>
      <c r="H425" s="2">
        <v>226999</v>
      </c>
      <c r="I425" s="4" t="s">
        <v>2</v>
      </c>
      <c r="J425" s="4" t="s">
        <v>1</v>
      </c>
      <c r="K425" s="5">
        <v>43304</v>
      </c>
      <c r="L425" s="3">
        <f t="shared" ca="1" si="6"/>
        <v>5.8083333333333336</v>
      </c>
    </row>
    <row r="426" spans="1:12" x14ac:dyDescent="0.25">
      <c r="A426" s="4">
        <v>1246</v>
      </c>
      <c r="B426" s="4" t="s">
        <v>190</v>
      </c>
      <c r="C426" s="4" t="s">
        <v>436</v>
      </c>
      <c r="D426" s="4" t="s">
        <v>8</v>
      </c>
      <c r="E426" s="4" t="s">
        <v>3</v>
      </c>
      <c r="F426" s="6">
        <v>0.94</v>
      </c>
      <c r="G426" s="4">
        <v>1</v>
      </c>
      <c r="H426" s="2">
        <v>80390</v>
      </c>
      <c r="I426" s="4" t="s">
        <v>2</v>
      </c>
      <c r="J426" s="4" t="s">
        <v>2</v>
      </c>
      <c r="K426" s="5">
        <v>43292</v>
      </c>
      <c r="L426" s="3">
        <f t="shared" ca="1" si="6"/>
        <v>5.8416666666666668</v>
      </c>
    </row>
    <row r="427" spans="1:12" x14ac:dyDescent="0.25">
      <c r="A427" s="4">
        <v>1247</v>
      </c>
      <c r="B427" s="4" t="s">
        <v>202</v>
      </c>
      <c r="C427" s="4" t="s">
        <v>456</v>
      </c>
      <c r="D427" s="4" t="s">
        <v>4</v>
      </c>
      <c r="E427" s="4" t="s">
        <v>15</v>
      </c>
      <c r="F427" s="6">
        <v>0.89</v>
      </c>
      <c r="G427" s="4">
        <v>2</v>
      </c>
      <c r="H427" s="2">
        <v>209503</v>
      </c>
      <c r="I427" s="4" t="s">
        <v>2</v>
      </c>
      <c r="J427" s="4" t="s">
        <v>1</v>
      </c>
      <c r="K427" s="5">
        <v>42902</v>
      </c>
      <c r="L427" s="3">
        <f t="shared" ca="1" si="6"/>
        <v>6.9111111111111114</v>
      </c>
    </row>
    <row r="428" spans="1:12" x14ac:dyDescent="0.25">
      <c r="A428" s="4">
        <v>1248</v>
      </c>
      <c r="B428" s="4" t="s">
        <v>206</v>
      </c>
      <c r="C428" s="4" t="s">
        <v>441</v>
      </c>
      <c r="D428" s="4" t="s">
        <v>10</v>
      </c>
      <c r="E428" s="4" t="s">
        <v>16</v>
      </c>
      <c r="F428" s="6">
        <v>0.83</v>
      </c>
      <c r="G428" s="4">
        <v>0</v>
      </c>
      <c r="H428" s="2">
        <v>261859</v>
      </c>
      <c r="I428" s="4" t="s">
        <v>2</v>
      </c>
      <c r="J428" s="4" t="s">
        <v>1</v>
      </c>
      <c r="K428" s="5">
        <v>43982</v>
      </c>
      <c r="L428" s="3">
        <f t="shared" ca="1" si="6"/>
        <v>3.9555555555555557</v>
      </c>
    </row>
    <row r="429" spans="1:12" x14ac:dyDescent="0.25">
      <c r="A429" s="4">
        <v>1249</v>
      </c>
      <c r="B429" s="4" t="s">
        <v>397</v>
      </c>
      <c r="C429" s="4" t="s">
        <v>452</v>
      </c>
      <c r="D429" s="4" t="s">
        <v>9</v>
      </c>
      <c r="E429" s="4" t="s">
        <v>15</v>
      </c>
      <c r="F429" s="6">
        <v>0</v>
      </c>
      <c r="G429" s="4">
        <v>2</v>
      </c>
      <c r="H429" s="2">
        <v>136503</v>
      </c>
      <c r="I429" s="4" t="s">
        <v>2</v>
      </c>
      <c r="J429" s="4" t="s">
        <v>2</v>
      </c>
      <c r="K429" s="5">
        <v>43415</v>
      </c>
      <c r="L429" s="3">
        <f t="shared" ca="1" si="6"/>
        <v>5.5083333333333337</v>
      </c>
    </row>
    <row r="430" spans="1:12" x14ac:dyDescent="0.25">
      <c r="A430" s="4">
        <v>1250</v>
      </c>
      <c r="B430" s="4" t="s">
        <v>398</v>
      </c>
      <c r="C430" s="4" t="s">
        <v>444</v>
      </c>
      <c r="D430" s="4" t="s">
        <v>4</v>
      </c>
      <c r="E430" s="4" t="s">
        <v>17</v>
      </c>
      <c r="F430" s="6">
        <v>0.9</v>
      </c>
      <c r="G430" s="4">
        <v>1</v>
      </c>
      <c r="H430" s="2">
        <v>187060</v>
      </c>
      <c r="I430" s="4" t="s">
        <v>2</v>
      </c>
      <c r="J430" s="4" t="s">
        <v>1</v>
      </c>
      <c r="K430" s="5">
        <v>43353</v>
      </c>
      <c r="L430" s="3">
        <f t="shared" ca="1" si="6"/>
        <v>5.677777777777778</v>
      </c>
    </row>
    <row r="431" spans="1:12" x14ac:dyDescent="0.25">
      <c r="A431" s="4">
        <v>1251</v>
      </c>
      <c r="B431" s="4" t="s">
        <v>399</v>
      </c>
      <c r="C431" s="4" t="s">
        <v>465</v>
      </c>
      <c r="D431" s="4" t="s">
        <v>14</v>
      </c>
      <c r="E431" s="4" t="s">
        <v>16</v>
      </c>
      <c r="F431" s="6">
        <v>0.94</v>
      </c>
      <c r="G431" s="4">
        <v>4</v>
      </c>
      <c r="H431" s="2">
        <v>241679</v>
      </c>
      <c r="I431" s="4" t="s">
        <v>2</v>
      </c>
      <c r="J431" s="4" t="s">
        <v>1</v>
      </c>
      <c r="K431" s="5">
        <v>43926</v>
      </c>
      <c r="L431" s="3">
        <f t="shared" ca="1" si="6"/>
        <v>4.1083333333333334</v>
      </c>
    </row>
    <row r="432" spans="1:12" x14ac:dyDescent="0.25">
      <c r="A432" s="4">
        <v>1252</v>
      </c>
      <c r="B432" s="4" t="s">
        <v>400</v>
      </c>
      <c r="C432" s="4" t="s">
        <v>450</v>
      </c>
      <c r="D432" s="4" t="s">
        <v>9</v>
      </c>
      <c r="E432" s="4" t="s">
        <v>16</v>
      </c>
      <c r="F432" s="6">
        <v>0.83</v>
      </c>
      <c r="G432" s="4">
        <v>5</v>
      </c>
      <c r="H432" s="2">
        <v>109660</v>
      </c>
      <c r="I432" s="4" t="s">
        <v>2</v>
      </c>
      <c r="J432" s="4" t="s">
        <v>1</v>
      </c>
      <c r="K432" s="5">
        <v>43447</v>
      </c>
      <c r="L432" s="3">
        <f t="shared" ca="1" si="6"/>
        <v>5.4194444444444443</v>
      </c>
    </row>
    <row r="433" spans="1:12" x14ac:dyDescent="0.25">
      <c r="A433" s="4">
        <v>1254</v>
      </c>
      <c r="B433" s="4" t="s">
        <v>401</v>
      </c>
      <c r="C433" s="4" t="s">
        <v>483</v>
      </c>
      <c r="D433" s="4" t="s">
        <v>14</v>
      </c>
      <c r="E433" s="4" t="s">
        <v>15</v>
      </c>
      <c r="F433" s="6">
        <v>0.54</v>
      </c>
      <c r="G433" s="4">
        <v>3</v>
      </c>
      <c r="H433" s="2">
        <v>249893</v>
      </c>
      <c r="I433" s="4" t="s">
        <v>2</v>
      </c>
      <c r="J433" s="4" t="s">
        <v>1</v>
      </c>
      <c r="K433" s="5">
        <v>43671</v>
      </c>
      <c r="L433" s="3">
        <f t="shared" ca="1" si="6"/>
        <v>4.802777777777778</v>
      </c>
    </row>
    <row r="434" spans="1:12" x14ac:dyDescent="0.25">
      <c r="A434" s="4">
        <v>1256</v>
      </c>
      <c r="B434" s="4" t="s">
        <v>402</v>
      </c>
      <c r="C434" s="4" t="s">
        <v>440</v>
      </c>
      <c r="D434" s="4" t="s">
        <v>8</v>
      </c>
      <c r="E434" s="4" t="s">
        <v>21</v>
      </c>
      <c r="F434" s="6">
        <v>0.56000000000000005</v>
      </c>
      <c r="G434" s="4">
        <v>2</v>
      </c>
      <c r="H434" s="2">
        <v>96837</v>
      </c>
      <c r="I434" s="4" t="s">
        <v>2</v>
      </c>
      <c r="J434" s="4" t="s">
        <v>1</v>
      </c>
      <c r="K434" s="5">
        <v>43835</v>
      </c>
      <c r="L434" s="3">
        <f t="shared" ca="1" si="6"/>
        <v>4.3583333333333334</v>
      </c>
    </row>
    <row r="435" spans="1:12" x14ac:dyDescent="0.25">
      <c r="A435" s="4">
        <v>1257</v>
      </c>
      <c r="B435" s="4" t="s">
        <v>134</v>
      </c>
      <c r="C435" s="4" t="s">
        <v>452</v>
      </c>
      <c r="D435" s="4" t="s">
        <v>9</v>
      </c>
      <c r="E435" s="4" t="s">
        <v>21</v>
      </c>
      <c r="F435" s="6">
        <v>0.53</v>
      </c>
      <c r="G435" s="4">
        <v>3</v>
      </c>
      <c r="H435" s="2">
        <v>131921</v>
      </c>
      <c r="I435" s="4" t="s">
        <v>2</v>
      </c>
      <c r="J435" s="4" t="s">
        <v>1</v>
      </c>
      <c r="K435" s="5">
        <v>42927</v>
      </c>
      <c r="L435" s="3">
        <f t="shared" ca="1" si="6"/>
        <v>6.8416666666666668</v>
      </c>
    </row>
    <row r="436" spans="1:12" x14ac:dyDescent="0.25">
      <c r="A436" s="4">
        <v>1258</v>
      </c>
      <c r="B436" s="4" t="s">
        <v>403</v>
      </c>
      <c r="C436" s="4" t="s">
        <v>476</v>
      </c>
      <c r="D436" s="4" t="s">
        <v>14</v>
      </c>
      <c r="E436" s="4" t="s">
        <v>17</v>
      </c>
      <c r="F436" s="6">
        <v>0.28999999999999998</v>
      </c>
      <c r="G436" s="4">
        <v>2</v>
      </c>
      <c r="H436" s="2">
        <v>230855</v>
      </c>
      <c r="I436" s="4" t="s">
        <v>2</v>
      </c>
      <c r="J436" s="4" t="s">
        <v>2</v>
      </c>
      <c r="K436" s="5">
        <v>43543</v>
      </c>
      <c r="L436" s="3">
        <f t="shared" ca="1" si="6"/>
        <v>5.1527777777777777</v>
      </c>
    </row>
    <row r="437" spans="1:12" x14ac:dyDescent="0.25">
      <c r="A437" s="4">
        <v>1261</v>
      </c>
      <c r="B437" s="4" t="s">
        <v>404</v>
      </c>
      <c r="C437" s="4" t="s">
        <v>470</v>
      </c>
      <c r="D437" s="4" t="s">
        <v>14</v>
      </c>
      <c r="E437" s="4" t="s">
        <v>18</v>
      </c>
      <c r="F437" s="6">
        <v>0.45</v>
      </c>
      <c r="G437" s="4">
        <v>5</v>
      </c>
      <c r="H437" s="2">
        <v>231731</v>
      </c>
      <c r="I437" s="4" t="s">
        <v>2</v>
      </c>
      <c r="J437" s="4" t="s">
        <v>1</v>
      </c>
      <c r="K437" s="5">
        <v>43505</v>
      </c>
      <c r="L437" s="3">
        <f t="shared" ca="1" si="6"/>
        <v>5.2638888888888893</v>
      </c>
    </row>
    <row r="438" spans="1:12" x14ac:dyDescent="0.25">
      <c r="A438" s="4">
        <v>1262</v>
      </c>
      <c r="B438" s="4" t="s">
        <v>405</v>
      </c>
      <c r="C438" s="4" t="s">
        <v>453</v>
      </c>
      <c r="D438" s="4" t="s">
        <v>14</v>
      </c>
      <c r="E438" s="4" t="s">
        <v>18</v>
      </c>
      <c r="F438" s="6">
        <v>0.71</v>
      </c>
      <c r="G438" s="4">
        <v>1</v>
      </c>
      <c r="H438" s="2">
        <v>248259</v>
      </c>
      <c r="I438" s="4" t="s">
        <v>2</v>
      </c>
      <c r="J438" s="4" t="s">
        <v>1</v>
      </c>
      <c r="K438" s="5">
        <v>43100</v>
      </c>
      <c r="L438" s="3">
        <f t="shared" ca="1" si="6"/>
        <v>6.3722222222222218</v>
      </c>
    </row>
    <row r="439" spans="1:12" x14ac:dyDescent="0.25">
      <c r="A439" s="4">
        <v>1263</v>
      </c>
      <c r="B439" s="4" t="s">
        <v>406</v>
      </c>
      <c r="C439" s="4" t="s">
        <v>449</v>
      </c>
      <c r="D439" s="4" t="s">
        <v>8</v>
      </c>
      <c r="E439" s="4" t="s">
        <v>20</v>
      </c>
      <c r="F439" s="6">
        <v>0.19</v>
      </c>
      <c r="G439" s="4">
        <v>2</v>
      </c>
      <c r="H439" s="2">
        <v>82121</v>
      </c>
      <c r="I439" s="4" t="s">
        <v>2</v>
      </c>
      <c r="J439" s="4" t="s">
        <v>2</v>
      </c>
      <c r="K439" s="5">
        <v>44126</v>
      </c>
      <c r="L439" s="3">
        <f t="shared" ca="1" si="6"/>
        <v>3.5611111111111109</v>
      </c>
    </row>
    <row r="440" spans="1:12" x14ac:dyDescent="0.25">
      <c r="A440" s="4">
        <v>1264</v>
      </c>
      <c r="B440" s="4" t="s">
        <v>407</v>
      </c>
      <c r="C440" s="4" t="s">
        <v>484</v>
      </c>
      <c r="D440" s="4" t="s">
        <v>9</v>
      </c>
      <c r="E440" s="4" t="s">
        <v>3</v>
      </c>
      <c r="F440" s="6">
        <v>0.17</v>
      </c>
      <c r="G440" s="4">
        <v>3</v>
      </c>
      <c r="H440" s="2">
        <v>142331</v>
      </c>
      <c r="I440" s="4" t="s">
        <v>2</v>
      </c>
      <c r="J440" s="4" t="s">
        <v>2</v>
      </c>
      <c r="K440" s="5">
        <v>42926</v>
      </c>
      <c r="L440" s="3">
        <f t="shared" ca="1" si="6"/>
        <v>6.8444444444444441</v>
      </c>
    </row>
    <row r="441" spans="1:12" x14ac:dyDescent="0.25">
      <c r="A441" s="4">
        <v>1265</v>
      </c>
      <c r="B441" s="4" t="s">
        <v>408</v>
      </c>
      <c r="C441" s="4" t="s">
        <v>455</v>
      </c>
      <c r="D441" s="4" t="s">
        <v>14</v>
      </c>
      <c r="E441" s="4" t="s">
        <v>17</v>
      </c>
      <c r="F441" s="6">
        <v>0.99</v>
      </c>
      <c r="G441" s="4">
        <v>2</v>
      </c>
      <c r="H441" s="2">
        <v>222043</v>
      </c>
      <c r="I441" s="4" t="s">
        <v>2</v>
      </c>
      <c r="J441" s="4" t="s">
        <v>2</v>
      </c>
      <c r="K441" s="5">
        <v>43050</v>
      </c>
      <c r="L441" s="3">
        <f t="shared" ca="1" si="6"/>
        <v>6.5083333333333337</v>
      </c>
    </row>
    <row r="442" spans="1:12" x14ac:dyDescent="0.25">
      <c r="A442" s="4">
        <v>1266</v>
      </c>
      <c r="B442" s="4" t="s">
        <v>293</v>
      </c>
      <c r="C442" s="4" t="s">
        <v>462</v>
      </c>
      <c r="D442" s="4" t="s">
        <v>9</v>
      </c>
      <c r="E442" s="4" t="s">
        <v>19</v>
      </c>
      <c r="F442" s="6">
        <v>0</v>
      </c>
      <c r="G442" s="4">
        <v>2</v>
      </c>
      <c r="H442" s="2">
        <v>148743</v>
      </c>
      <c r="I442" s="4" t="s">
        <v>2</v>
      </c>
      <c r="J442" s="4" t="s">
        <v>1</v>
      </c>
      <c r="K442" s="5">
        <v>43450</v>
      </c>
      <c r="L442" s="3">
        <f t="shared" ca="1" si="6"/>
        <v>5.4111111111111114</v>
      </c>
    </row>
    <row r="443" spans="1:12" x14ac:dyDescent="0.25">
      <c r="A443" s="4">
        <v>1267</v>
      </c>
      <c r="B443" s="4" t="s">
        <v>409</v>
      </c>
      <c r="C443" s="4" t="s">
        <v>436</v>
      </c>
      <c r="D443" s="4" t="s">
        <v>14</v>
      </c>
      <c r="E443" s="4" t="s">
        <v>18</v>
      </c>
      <c r="F443" s="6">
        <v>0.18</v>
      </c>
      <c r="G443" s="4">
        <v>0</v>
      </c>
      <c r="H443" s="2">
        <v>239386</v>
      </c>
      <c r="I443" s="4" t="s">
        <v>2</v>
      </c>
      <c r="J443" s="4" t="s">
        <v>2</v>
      </c>
      <c r="K443" s="5">
        <v>44160</v>
      </c>
      <c r="L443" s="3">
        <f t="shared" ca="1" si="6"/>
        <v>3.4694444444444446</v>
      </c>
    </row>
    <row r="444" spans="1:12" x14ac:dyDescent="0.25">
      <c r="A444" s="4">
        <v>1268</v>
      </c>
      <c r="B444" s="4" t="s">
        <v>410</v>
      </c>
      <c r="C444" s="4" t="s">
        <v>456</v>
      </c>
      <c r="D444" s="4" t="s">
        <v>4</v>
      </c>
      <c r="E444" s="4" t="s">
        <v>3</v>
      </c>
      <c r="F444" s="6">
        <v>0.51</v>
      </c>
      <c r="G444" s="4">
        <v>5</v>
      </c>
      <c r="H444" s="2">
        <v>192047</v>
      </c>
      <c r="I444" s="4" t="s">
        <v>2</v>
      </c>
      <c r="J444" s="4" t="s">
        <v>1</v>
      </c>
      <c r="K444" s="5">
        <v>43942</v>
      </c>
      <c r="L444" s="3">
        <f t="shared" ca="1" si="6"/>
        <v>4.0638888888888891</v>
      </c>
    </row>
    <row r="445" spans="1:12" x14ac:dyDescent="0.25">
      <c r="A445" s="4">
        <v>1269</v>
      </c>
      <c r="B445" s="4" t="s">
        <v>260</v>
      </c>
      <c r="C445" s="4" t="s">
        <v>448</v>
      </c>
      <c r="D445" s="4" t="s">
        <v>8</v>
      </c>
      <c r="E445" s="4" t="s">
        <v>3</v>
      </c>
      <c r="F445" s="6">
        <v>0.34</v>
      </c>
      <c r="G445" s="4">
        <v>0</v>
      </c>
      <c r="H445" s="2">
        <v>66682</v>
      </c>
      <c r="I445" s="4" t="s">
        <v>2</v>
      </c>
      <c r="J445" s="4" t="s">
        <v>2</v>
      </c>
      <c r="K445" s="5">
        <v>43865</v>
      </c>
      <c r="L445" s="3">
        <f t="shared" ca="1" si="6"/>
        <v>4.2777777777777777</v>
      </c>
    </row>
    <row r="446" spans="1:12" x14ac:dyDescent="0.25">
      <c r="A446" s="4">
        <v>1270</v>
      </c>
      <c r="B446" s="4" t="s">
        <v>411</v>
      </c>
      <c r="C446" s="4" t="s">
        <v>469</v>
      </c>
      <c r="D446" s="4" t="s">
        <v>4</v>
      </c>
      <c r="E446" s="4" t="s">
        <v>16</v>
      </c>
      <c r="F446" s="6">
        <v>0.61</v>
      </c>
      <c r="G446" s="4">
        <v>2</v>
      </c>
      <c r="H446" s="2">
        <v>190468</v>
      </c>
      <c r="I446" s="4" t="s">
        <v>2</v>
      </c>
      <c r="J446" s="4" t="s">
        <v>2</v>
      </c>
      <c r="K446" s="5">
        <v>43797</v>
      </c>
      <c r="L446" s="3">
        <f t="shared" ca="1" si="6"/>
        <v>4.4611111111111112</v>
      </c>
    </row>
    <row r="447" spans="1:12" x14ac:dyDescent="0.25">
      <c r="A447" s="4">
        <v>1271</v>
      </c>
      <c r="B447" s="4" t="s">
        <v>277</v>
      </c>
      <c r="C447" s="4" t="s">
        <v>471</v>
      </c>
      <c r="D447" s="4" t="s">
        <v>8</v>
      </c>
      <c r="E447" s="4" t="s">
        <v>16</v>
      </c>
      <c r="F447" s="6">
        <v>0.91</v>
      </c>
      <c r="G447" s="4">
        <v>1</v>
      </c>
      <c r="H447" s="2">
        <v>92723</v>
      </c>
      <c r="I447" s="4" t="s">
        <v>2</v>
      </c>
      <c r="J447" s="4" t="s">
        <v>1</v>
      </c>
      <c r="K447" s="5">
        <v>43396</v>
      </c>
      <c r="L447" s="3">
        <f t="shared" ca="1" si="6"/>
        <v>5.5583333333333336</v>
      </c>
    </row>
    <row r="448" spans="1:12" x14ac:dyDescent="0.25">
      <c r="A448" s="4">
        <v>1272</v>
      </c>
      <c r="B448" s="4" t="s">
        <v>412</v>
      </c>
      <c r="C448" s="4" t="s">
        <v>465</v>
      </c>
      <c r="D448" s="4" t="s">
        <v>4</v>
      </c>
      <c r="E448" s="4" t="s">
        <v>15</v>
      </c>
      <c r="F448" s="6">
        <v>0.8</v>
      </c>
      <c r="G448" s="4">
        <v>4</v>
      </c>
      <c r="H448" s="2">
        <v>186717</v>
      </c>
      <c r="I448" s="4" t="s">
        <v>2</v>
      </c>
      <c r="J448" s="4" t="s">
        <v>1</v>
      </c>
      <c r="K448" s="5">
        <v>43783</v>
      </c>
      <c r="L448" s="3">
        <f t="shared" ca="1" si="6"/>
        <v>4.5</v>
      </c>
    </row>
    <row r="449" spans="1:12" x14ac:dyDescent="0.25">
      <c r="A449" s="4">
        <v>1273</v>
      </c>
      <c r="B449" s="4" t="s">
        <v>326</v>
      </c>
      <c r="C449" s="4" t="s">
        <v>444</v>
      </c>
      <c r="D449" s="4" t="s">
        <v>9</v>
      </c>
      <c r="E449" s="4" t="s">
        <v>15</v>
      </c>
      <c r="F449" s="6">
        <v>1</v>
      </c>
      <c r="G449" s="4">
        <v>4</v>
      </c>
      <c r="H449" s="2">
        <v>121560</v>
      </c>
      <c r="I449" s="4" t="s">
        <v>2</v>
      </c>
      <c r="J449" s="4" t="s">
        <v>1</v>
      </c>
      <c r="K449" s="5">
        <v>42930</v>
      </c>
      <c r="L449" s="3">
        <f t="shared" ca="1" si="6"/>
        <v>6.833333333333333</v>
      </c>
    </row>
    <row r="450" spans="1:12" x14ac:dyDescent="0.25">
      <c r="A450" s="4">
        <v>1274</v>
      </c>
      <c r="B450" s="4" t="s">
        <v>413</v>
      </c>
      <c r="C450" s="4" t="s">
        <v>442</v>
      </c>
      <c r="D450" s="4" t="s">
        <v>4</v>
      </c>
      <c r="E450" s="4" t="s">
        <v>18</v>
      </c>
      <c r="F450" s="6">
        <v>0.73</v>
      </c>
      <c r="G450" s="4">
        <v>5</v>
      </c>
      <c r="H450" s="2">
        <v>195631</v>
      </c>
      <c r="I450" s="4" t="s">
        <v>2</v>
      </c>
      <c r="J450" s="4" t="s">
        <v>1</v>
      </c>
      <c r="K450" s="5">
        <v>43859</v>
      </c>
      <c r="L450" s="3">
        <f t="shared" ca="1" si="6"/>
        <v>4.291666666666667</v>
      </c>
    </row>
    <row r="451" spans="1:12" x14ac:dyDescent="0.25">
      <c r="A451" s="4">
        <v>1275</v>
      </c>
      <c r="B451" s="4" t="s">
        <v>414</v>
      </c>
      <c r="C451" s="4" t="s">
        <v>441</v>
      </c>
      <c r="D451" s="4" t="s">
        <v>4</v>
      </c>
      <c r="E451" s="4" t="s">
        <v>17</v>
      </c>
      <c r="F451" s="6">
        <v>0.35</v>
      </c>
      <c r="G451" s="4">
        <v>4</v>
      </c>
      <c r="H451" s="2">
        <v>189789</v>
      </c>
      <c r="I451" s="4" t="s">
        <v>2</v>
      </c>
      <c r="J451" s="4" t="s">
        <v>1</v>
      </c>
      <c r="K451" s="5">
        <v>43244</v>
      </c>
      <c r="L451" s="3">
        <f t="shared" ref="L451:L514" ca="1" si="7">YEARFRAC(K451,TODAY())</f>
        <v>5.9722222222222223</v>
      </c>
    </row>
    <row r="452" spans="1:12" x14ac:dyDescent="0.25">
      <c r="A452" s="4">
        <v>1276</v>
      </c>
      <c r="B452" s="4" t="s">
        <v>415</v>
      </c>
      <c r="C452" s="4" t="s">
        <v>481</v>
      </c>
      <c r="D452" s="4" t="s">
        <v>8</v>
      </c>
      <c r="E452" s="4" t="s">
        <v>16</v>
      </c>
      <c r="F452" s="6">
        <v>0.23</v>
      </c>
      <c r="G452" s="4">
        <v>0</v>
      </c>
      <c r="H452" s="2">
        <v>82021</v>
      </c>
      <c r="I452" s="4" t="s">
        <v>2</v>
      </c>
      <c r="J452" s="4" t="s">
        <v>2</v>
      </c>
      <c r="K452" s="5">
        <v>43017</v>
      </c>
      <c r="L452" s="3">
        <f t="shared" ca="1" si="7"/>
        <v>6.5972222222222223</v>
      </c>
    </row>
    <row r="453" spans="1:12" x14ac:dyDescent="0.25">
      <c r="A453" s="4">
        <v>1277</v>
      </c>
      <c r="B453" s="4" t="s">
        <v>416</v>
      </c>
      <c r="C453" s="4" t="s">
        <v>485</v>
      </c>
      <c r="D453" s="4" t="s">
        <v>4</v>
      </c>
      <c r="E453" s="4" t="s">
        <v>17</v>
      </c>
      <c r="F453" s="6">
        <v>0.67</v>
      </c>
      <c r="G453" s="4">
        <v>3</v>
      </c>
      <c r="H453" s="2">
        <v>182675</v>
      </c>
      <c r="I453" s="4" t="s">
        <v>2</v>
      </c>
      <c r="J453" s="4" t="s">
        <v>2</v>
      </c>
      <c r="K453" s="5">
        <v>43398</v>
      </c>
      <c r="L453" s="3">
        <f t="shared" ca="1" si="7"/>
        <v>5.552777777777778</v>
      </c>
    </row>
    <row r="454" spans="1:12" x14ac:dyDescent="0.25">
      <c r="A454" s="4">
        <v>1278</v>
      </c>
      <c r="B454" s="4" t="s">
        <v>383</v>
      </c>
      <c r="C454" s="4" t="s">
        <v>477</v>
      </c>
      <c r="D454" s="4" t="s">
        <v>8</v>
      </c>
      <c r="E454" s="4" t="s">
        <v>19</v>
      </c>
      <c r="F454" s="6">
        <v>0</v>
      </c>
      <c r="G454" s="4">
        <v>1</v>
      </c>
      <c r="H454" s="2">
        <v>90939</v>
      </c>
      <c r="I454" s="4" t="s">
        <v>2</v>
      </c>
      <c r="J454" s="4" t="s">
        <v>2</v>
      </c>
      <c r="K454" s="5">
        <v>43339</v>
      </c>
      <c r="L454" s="3">
        <f t="shared" ca="1" si="7"/>
        <v>5.7138888888888886</v>
      </c>
    </row>
    <row r="455" spans="1:12" x14ac:dyDescent="0.25">
      <c r="A455" s="4">
        <v>1279</v>
      </c>
      <c r="B455" s="4" t="s">
        <v>375</v>
      </c>
      <c r="C455" s="4" t="s">
        <v>472</v>
      </c>
      <c r="D455" s="4" t="s">
        <v>8</v>
      </c>
      <c r="E455" s="4" t="s">
        <v>18</v>
      </c>
      <c r="F455" s="6">
        <v>0.42</v>
      </c>
      <c r="G455" s="4">
        <v>3</v>
      </c>
      <c r="H455" s="2">
        <v>90879</v>
      </c>
      <c r="I455" s="4" t="s">
        <v>2</v>
      </c>
      <c r="J455" s="4" t="s">
        <v>1</v>
      </c>
      <c r="K455" s="5">
        <v>43965</v>
      </c>
      <c r="L455" s="3">
        <f t="shared" ca="1" si="7"/>
        <v>4</v>
      </c>
    </row>
    <row r="456" spans="1:12" x14ac:dyDescent="0.25">
      <c r="A456" s="4">
        <v>1280</v>
      </c>
      <c r="B456" s="4" t="s">
        <v>376</v>
      </c>
      <c r="C456" s="4" t="s">
        <v>473</v>
      </c>
      <c r="D456" s="4" t="s">
        <v>14</v>
      </c>
      <c r="E456" s="4" t="s">
        <v>21</v>
      </c>
      <c r="F456" s="6">
        <v>0.63</v>
      </c>
      <c r="G456" s="4">
        <v>2</v>
      </c>
      <c r="H456" s="2">
        <v>246229</v>
      </c>
      <c r="I456" s="4" t="s">
        <v>2</v>
      </c>
      <c r="J456" s="4" t="s">
        <v>1</v>
      </c>
      <c r="K456" s="5">
        <v>43573</v>
      </c>
      <c r="L456" s="3">
        <f t="shared" ca="1" si="7"/>
        <v>5.072222222222222</v>
      </c>
    </row>
    <row r="457" spans="1:12" x14ac:dyDescent="0.25">
      <c r="A457" s="4">
        <v>1281</v>
      </c>
      <c r="B457" s="4" t="s">
        <v>377</v>
      </c>
      <c r="C457" s="4" t="s">
        <v>479</v>
      </c>
      <c r="D457" s="4" t="s">
        <v>9</v>
      </c>
      <c r="E457" s="4" t="s">
        <v>21</v>
      </c>
      <c r="F457" s="6">
        <v>0.39</v>
      </c>
      <c r="G457" s="4">
        <v>1</v>
      </c>
      <c r="H457" s="2">
        <v>127841</v>
      </c>
      <c r="I457" s="4" t="s">
        <v>2</v>
      </c>
      <c r="J457" s="4" t="s">
        <v>2</v>
      </c>
      <c r="K457" s="5">
        <v>43804</v>
      </c>
      <c r="L457" s="3">
        <f t="shared" ca="1" si="7"/>
        <v>4.4416666666666664</v>
      </c>
    </row>
    <row r="458" spans="1:12" x14ac:dyDescent="0.25">
      <c r="A458" s="4">
        <v>1282</v>
      </c>
      <c r="B458" s="4" t="s">
        <v>378</v>
      </c>
      <c r="C458" s="4" t="s">
        <v>447</v>
      </c>
      <c r="D458" s="4" t="s">
        <v>8</v>
      </c>
      <c r="E458" s="4" t="s">
        <v>17</v>
      </c>
      <c r="F458" s="6">
        <v>0.68</v>
      </c>
      <c r="G458" s="4">
        <v>0</v>
      </c>
      <c r="H458" s="2">
        <v>96588</v>
      </c>
      <c r="I458" s="4" t="s">
        <v>2</v>
      </c>
      <c r="J458" s="4" t="s">
        <v>1</v>
      </c>
      <c r="K458" s="5">
        <v>43743</v>
      </c>
      <c r="L458" s="3">
        <f t="shared" ca="1" si="7"/>
        <v>4.6083333333333334</v>
      </c>
    </row>
    <row r="459" spans="1:12" x14ac:dyDescent="0.25">
      <c r="A459" s="4">
        <v>1284</v>
      </c>
      <c r="B459" s="4" t="s">
        <v>379</v>
      </c>
      <c r="C459" s="4" t="s">
        <v>480</v>
      </c>
      <c r="D459" s="4" t="s">
        <v>9</v>
      </c>
      <c r="E459" s="4" t="s">
        <v>18</v>
      </c>
      <c r="F459" s="6">
        <v>0.55000000000000004</v>
      </c>
      <c r="G459" s="4">
        <v>0</v>
      </c>
      <c r="H459" s="2">
        <v>148425</v>
      </c>
      <c r="I459" s="4" t="s">
        <v>2</v>
      </c>
      <c r="J459" s="4" t="s">
        <v>1</v>
      </c>
      <c r="K459" s="5">
        <v>43920</v>
      </c>
      <c r="L459" s="3">
        <f t="shared" ca="1" si="7"/>
        <v>4.1222222222222218</v>
      </c>
    </row>
    <row r="460" spans="1:12" x14ac:dyDescent="0.25">
      <c r="A460" s="4">
        <v>1285</v>
      </c>
      <c r="B460" s="4" t="s">
        <v>380</v>
      </c>
      <c r="C460" s="4" t="s">
        <v>454</v>
      </c>
      <c r="D460" s="4" t="s">
        <v>4</v>
      </c>
      <c r="E460" s="4" t="s">
        <v>17</v>
      </c>
      <c r="F460" s="6">
        <v>0.96</v>
      </c>
      <c r="G460" s="4">
        <v>0</v>
      </c>
      <c r="H460" s="2">
        <v>195112</v>
      </c>
      <c r="I460" s="4" t="s">
        <v>2</v>
      </c>
      <c r="J460" s="4" t="s">
        <v>2</v>
      </c>
      <c r="K460" s="5">
        <v>43742</v>
      </c>
      <c r="L460" s="3">
        <f t="shared" ca="1" si="7"/>
        <v>4.6111111111111107</v>
      </c>
    </row>
    <row r="461" spans="1:12" x14ac:dyDescent="0.25">
      <c r="A461" s="4">
        <v>1286</v>
      </c>
      <c r="B461" s="4" t="s">
        <v>381</v>
      </c>
      <c r="C461" s="4" t="s">
        <v>459</v>
      </c>
      <c r="D461" s="4" t="s">
        <v>14</v>
      </c>
      <c r="E461" s="4" t="s">
        <v>17</v>
      </c>
      <c r="F461" s="6">
        <v>0.96</v>
      </c>
      <c r="G461" s="4">
        <v>3</v>
      </c>
      <c r="H461" s="2">
        <v>244135</v>
      </c>
      <c r="I461" s="4" t="s">
        <v>2</v>
      </c>
      <c r="J461" s="4" t="s">
        <v>1</v>
      </c>
      <c r="K461" s="5">
        <v>43010</v>
      </c>
      <c r="L461" s="3">
        <f t="shared" ca="1" si="7"/>
        <v>6.6166666666666663</v>
      </c>
    </row>
    <row r="462" spans="1:12" x14ac:dyDescent="0.25">
      <c r="A462" s="4">
        <v>1287</v>
      </c>
      <c r="B462" s="4" t="s">
        <v>382</v>
      </c>
      <c r="C462" s="4" t="s">
        <v>467</v>
      </c>
      <c r="D462" s="4" t="s">
        <v>14</v>
      </c>
      <c r="E462" s="4" t="s">
        <v>3</v>
      </c>
      <c r="F462" s="6">
        <v>0.56999999999999995</v>
      </c>
      <c r="G462" s="4">
        <v>5</v>
      </c>
      <c r="H462" s="2">
        <v>220041</v>
      </c>
      <c r="I462" s="4" t="s">
        <v>2</v>
      </c>
      <c r="J462" s="4" t="s">
        <v>1</v>
      </c>
      <c r="K462" s="5">
        <v>43681</v>
      </c>
      <c r="L462" s="3">
        <f t="shared" ca="1" si="7"/>
        <v>4.7777777777777777</v>
      </c>
    </row>
    <row r="463" spans="1:12" x14ac:dyDescent="0.25">
      <c r="A463" s="4">
        <v>1288</v>
      </c>
      <c r="B463" s="4" t="s">
        <v>158</v>
      </c>
      <c r="C463" s="4" t="s">
        <v>458</v>
      </c>
      <c r="D463" s="4" t="s">
        <v>14</v>
      </c>
      <c r="E463" s="4" t="s">
        <v>21</v>
      </c>
      <c r="F463" s="6">
        <v>0.87</v>
      </c>
      <c r="G463" s="4">
        <v>2</v>
      </c>
      <c r="H463" s="2">
        <v>234994</v>
      </c>
      <c r="I463" s="4" t="s">
        <v>2</v>
      </c>
      <c r="J463" s="4" t="s">
        <v>2</v>
      </c>
      <c r="K463" s="5">
        <v>43262</v>
      </c>
      <c r="L463" s="3">
        <f t="shared" ca="1" si="7"/>
        <v>5.9249999999999998</v>
      </c>
    </row>
    <row r="464" spans="1:12" x14ac:dyDescent="0.25">
      <c r="A464" s="4">
        <v>1289</v>
      </c>
      <c r="B464" s="4" t="s">
        <v>383</v>
      </c>
      <c r="C464" s="4" t="s">
        <v>476</v>
      </c>
      <c r="D464" s="4" t="s">
        <v>9</v>
      </c>
      <c r="E464" s="4" t="s">
        <v>18</v>
      </c>
      <c r="F464" s="6">
        <v>0.72</v>
      </c>
      <c r="G464" s="4">
        <v>2</v>
      </c>
      <c r="H464" s="2">
        <v>105651</v>
      </c>
      <c r="I464" s="4" t="s">
        <v>2</v>
      </c>
      <c r="J464" s="4" t="s">
        <v>2</v>
      </c>
      <c r="K464" s="5">
        <v>43933</v>
      </c>
      <c r="L464" s="3">
        <f t="shared" ca="1" si="7"/>
        <v>4.0888888888888886</v>
      </c>
    </row>
    <row r="465" spans="1:12" x14ac:dyDescent="0.25">
      <c r="A465" s="4">
        <v>1291</v>
      </c>
      <c r="B465" s="4" t="s">
        <v>377</v>
      </c>
      <c r="C465" s="4" t="s">
        <v>449</v>
      </c>
      <c r="D465" s="4" t="s">
        <v>4</v>
      </c>
      <c r="E465" s="4" t="s">
        <v>17</v>
      </c>
      <c r="F465" s="6">
        <v>0.68</v>
      </c>
      <c r="G465" s="4">
        <v>0</v>
      </c>
      <c r="H465" s="2">
        <v>182843</v>
      </c>
      <c r="I465" s="4" t="s">
        <v>2</v>
      </c>
      <c r="J465" s="4" t="s">
        <v>2</v>
      </c>
      <c r="K465" s="5">
        <v>43425</v>
      </c>
      <c r="L465" s="3">
        <f t="shared" ca="1" si="7"/>
        <v>5.4805555555555552</v>
      </c>
    </row>
    <row r="466" spans="1:12" x14ac:dyDescent="0.25">
      <c r="A466" s="4">
        <v>1292</v>
      </c>
      <c r="B466" s="4" t="s">
        <v>178</v>
      </c>
      <c r="C466" s="4" t="s">
        <v>466</v>
      </c>
      <c r="D466" s="4" t="s">
        <v>9</v>
      </c>
      <c r="E466" s="4" t="s">
        <v>20</v>
      </c>
      <c r="F466" s="6">
        <v>0.37</v>
      </c>
      <c r="G466" s="4">
        <v>3</v>
      </c>
      <c r="H466" s="2">
        <v>124428</v>
      </c>
      <c r="I466" s="4" t="s">
        <v>2</v>
      </c>
      <c r="J466" s="4" t="s">
        <v>1</v>
      </c>
      <c r="K466" s="5">
        <v>43509</v>
      </c>
      <c r="L466" s="3">
        <f t="shared" ca="1" si="7"/>
        <v>5.2527777777777782</v>
      </c>
    </row>
    <row r="467" spans="1:12" x14ac:dyDescent="0.25">
      <c r="A467" s="4">
        <v>1293</v>
      </c>
      <c r="B467" s="4" t="s">
        <v>384</v>
      </c>
      <c r="C467" s="4" t="s">
        <v>462</v>
      </c>
      <c r="D467" s="4" t="s">
        <v>8</v>
      </c>
      <c r="E467" s="4" t="s">
        <v>15</v>
      </c>
      <c r="F467" s="6">
        <v>0.67</v>
      </c>
      <c r="G467" s="4">
        <v>5</v>
      </c>
      <c r="H467" s="2">
        <v>87393</v>
      </c>
      <c r="I467" s="4" t="s">
        <v>2</v>
      </c>
      <c r="J467" s="4" t="s">
        <v>1</v>
      </c>
      <c r="K467" s="5">
        <v>43872</v>
      </c>
      <c r="L467" s="3">
        <f t="shared" ca="1" si="7"/>
        <v>4.2583333333333337</v>
      </c>
    </row>
    <row r="468" spans="1:12" x14ac:dyDescent="0.25">
      <c r="A468" s="4">
        <v>1294</v>
      </c>
      <c r="B468" s="4" t="s">
        <v>385</v>
      </c>
      <c r="C468" s="4" t="s">
        <v>464</v>
      </c>
      <c r="D468" s="4" t="s">
        <v>9</v>
      </c>
      <c r="E468" s="4" t="s">
        <v>17</v>
      </c>
      <c r="F468" s="6">
        <v>0.99</v>
      </c>
      <c r="G468" s="4">
        <v>0</v>
      </c>
      <c r="H468" s="2">
        <v>148491</v>
      </c>
      <c r="I468" s="4" t="s">
        <v>2</v>
      </c>
      <c r="J468" s="4" t="s">
        <v>1</v>
      </c>
      <c r="K468" s="5">
        <v>43402</v>
      </c>
      <c r="L468" s="3">
        <f t="shared" ca="1" si="7"/>
        <v>5.541666666666667</v>
      </c>
    </row>
    <row r="469" spans="1:12" x14ac:dyDescent="0.25">
      <c r="A469" s="4">
        <v>1295</v>
      </c>
      <c r="B469" s="4" t="s">
        <v>386</v>
      </c>
      <c r="C469" s="4" t="s">
        <v>457</v>
      </c>
      <c r="D469" s="4" t="s">
        <v>8</v>
      </c>
      <c r="E469" s="4" t="s">
        <v>15</v>
      </c>
      <c r="F469" s="6">
        <v>0.82</v>
      </c>
      <c r="G469" s="4">
        <v>0</v>
      </c>
      <c r="H469" s="2">
        <v>62003</v>
      </c>
      <c r="I469" s="4" t="s">
        <v>2</v>
      </c>
      <c r="J469" s="4" t="s">
        <v>2</v>
      </c>
      <c r="K469" s="5">
        <v>43534</v>
      </c>
      <c r="L469" s="3">
        <f t="shared" ca="1" si="7"/>
        <v>5.177777777777778</v>
      </c>
    </row>
    <row r="470" spans="1:12" x14ac:dyDescent="0.25">
      <c r="A470" s="4">
        <v>1296</v>
      </c>
      <c r="B470" s="4" t="s">
        <v>387</v>
      </c>
      <c r="C470" s="4" t="s">
        <v>478</v>
      </c>
      <c r="D470" s="4" t="s">
        <v>4</v>
      </c>
      <c r="E470" s="4" t="s">
        <v>15</v>
      </c>
      <c r="F470" s="6">
        <v>0.45</v>
      </c>
      <c r="G470" s="4">
        <v>0</v>
      </c>
      <c r="H470" s="2">
        <v>203278</v>
      </c>
      <c r="I470" s="4" t="s">
        <v>2</v>
      </c>
      <c r="J470" s="4" t="s">
        <v>2</v>
      </c>
      <c r="K470" s="5">
        <v>43955</v>
      </c>
      <c r="L470" s="3">
        <f t="shared" ca="1" si="7"/>
        <v>4.0277777777777777</v>
      </c>
    </row>
    <row r="471" spans="1:12" x14ac:dyDescent="0.25">
      <c r="A471" s="4">
        <v>1297</v>
      </c>
      <c r="B471" s="4" t="s">
        <v>202</v>
      </c>
      <c r="C471" s="4" t="s">
        <v>445</v>
      </c>
      <c r="D471" s="4" t="s">
        <v>9</v>
      </c>
      <c r="E471" s="4" t="s">
        <v>20</v>
      </c>
      <c r="F471" s="6">
        <v>0.4</v>
      </c>
      <c r="G471" s="4">
        <v>0</v>
      </c>
      <c r="H471" s="2">
        <v>141781</v>
      </c>
      <c r="I471" s="4" t="s">
        <v>2</v>
      </c>
      <c r="J471" s="4" t="s">
        <v>2</v>
      </c>
      <c r="K471" s="5">
        <v>43381</v>
      </c>
      <c r="L471" s="3">
        <f t="shared" ca="1" si="7"/>
        <v>5.6</v>
      </c>
    </row>
    <row r="472" spans="1:12" x14ac:dyDescent="0.25">
      <c r="A472" s="4">
        <v>1298</v>
      </c>
      <c r="B472" s="4" t="s">
        <v>388</v>
      </c>
      <c r="C472" s="4" t="s">
        <v>484</v>
      </c>
      <c r="D472" s="4" t="s">
        <v>9</v>
      </c>
      <c r="E472" s="4" t="s">
        <v>15</v>
      </c>
      <c r="F472" s="6">
        <v>0.65</v>
      </c>
      <c r="G472" s="4">
        <v>2</v>
      </c>
      <c r="H472" s="2">
        <v>130003</v>
      </c>
      <c r="I472" s="4" t="s">
        <v>2</v>
      </c>
      <c r="J472" s="4" t="s">
        <v>2</v>
      </c>
      <c r="K472" s="5">
        <v>43527</v>
      </c>
      <c r="L472" s="3">
        <f t="shared" ca="1" si="7"/>
        <v>5.197222222222222</v>
      </c>
    </row>
    <row r="473" spans="1:12" x14ac:dyDescent="0.25">
      <c r="A473" s="4">
        <v>1299</v>
      </c>
      <c r="B473" s="4" t="s">
        <v>389</v>
      </c>
      <c r="C473" s="4" t="s">
        <v>451</v>
      </c>
      <c r="D473" s="4" t="s">
        <v>8</v>
      </c>
      <c r="E473" s="4" t="s">
        <v>16</v>
      </c>
      <c r="F473" s="6">
        <v>0.68</v>
      </c>
      <c r="G473" s="4">
        <v>0</v>
      </c>
      <c r="H473" s="2">
        <v>92353</v>
      </c>
      <c r="I473" s="4" t="s">
        <v>2</v>
      </c>
      <c r="J473" s="4" t="s">
        <v>2</v>
      </c>
      <c r="K473" s="5">
        <v>43344</v>
      </c>
      <c r="L473" s="3">
        <f t="shared" ca="1" si="7"/>
        <v>5.7027777777777775</v>
      </c>
    </row>
    <row r="474" spans="1:12" x14ac:dyDescent="0.25">
      <c r="A474" s="4">
        <v>1301</v>
      </c>
      <c r="B474" s="4" t="s">
        <v>390</v>
      </c>
      <c r="C474" s="4" t="s">
        <v>440</v>
      </c>
      <c r="D474" s="4" t="s">
        <v>8</v>
      </c>
      <c r="E474" s="4" t="s">
        <v>15</v>
      </c>
      <c r="F474" s="6">
        <v>0.71</v>
      </c>
      <c r="G474" s="4">
        <v>2</v>
      </c>
      <c r="H474" s="2">
        <v>81679</v>
      </c>
      <c r="I474" s="4" t="s">
        <v>2</v>
      </c>
      <c r="J474" s="4" t="s">
        <v>1</v>
      </c>
      <c r="K474" s="5">
        <v>42951</v>
      </c>
      <c r="L474" s="3">
        <f t="shared" ca="1" si="7"/>
        <v>6.7777777777777777</v>
      </c>
    </row>
    <row r="475" spans="1:12" x14ac:dyDescent="0.25">
      <c r="A475" s="4">
        <v>1304</v>
      </c>
      <c r="B475" s="4" t="s">
        <v>391</v>
      </c>
      <c r="C475" s="4" t="s">
        <v>472</v>
      </c>
      <c r="D475" s="4" t="s">
        <v>9</v>
      </c>
      <c r="E475" s="4" t="s">
        <v>3</v>
      </c>
      <c r="F475" s="6">
        <v>0.72</v>
      </c>
      <c r="G475" s="4">
        <v>3</v>
      </c>
      <c r="H475" s="2">
        <v>123877</v>
      </c>
      <c r="I475" s="4" t="s">
        <v>2</v>
      </c>
      <c r="J475" s="4" t="s">
        <v>1</v>
      </c>
      <c r="K475" s="5">
        <v>43275</v>
      </c>
      <c r="L475" s="3">
        <f t="shared" ca="1" si="7"/>
        <v>5.8888888888888893</v>
      </c>
    </row>
    <row r="476" spans="1:12" x14ac:dyDescent="0.25">
      <c r="A476" s="4">
        <v>1305</v>
      </c>
      <c r="B476" s="4" t="s">
        <v>392</v>
      </c>
      <c r="C476" s="4" t="s">
        <v>463</v>
      </c>
      <c r="D476" s="4" t="s">
        <v>4</v>
      </c>
      <c r="E476" s="4" t="s">
        <v>18</v>
      </c>
      <c r="F476" s="6">
        <v>0.19</v>
      </c>
      <c r="G476" s="4">
        <v>0</v>
      </c>
      <c r="H476" s="2">
        <v>209837</v>
      </c>
      <c r="I476" s="4" t="s">
        <v>2</v>
      </c>
      <c r="J476" s="4" t="s">
        <v>2</v>
      </c>
      <c r="K476" s="5">
        <v>43250</v>
      </c>
      <c r="L476" s="3">
        <f t="shared" ca="1" si="7"/>
        <v>5.9555555555555557</v>
      </c>
    </row>
    <row r="477" spans="1:12" x14ac:dyDescent="0.25">
      <c r="A477" s="4">
        <v>1306</v>
      </c>
      <c r="B477" s="4" t="s">
        <v>393</v>
      </c>
      <c r="C477" s="4" t="s">
        <v>473</v>
      </c>
      <c r="D477" s="4" t="s">
        <v>8</v>
      </c>
      <c r="E477" s="4" t="s">
        <v>20</v>
      </c>
      <c r="F477" s="6">
        <v>0.98</v>
      </c>
      <c r="G477" s="4">
        <v>0</v>
      </c>
      <c r="H477" s="2">
        <v>94294</v>
      </c>
      <c r="I477" s="4" t="s">
        <v>2</v>
      </c>
      <c r="J477" s="4" t="s">
        <v>1</v>
      </c>
      <c r="K477" s="5">
        <v>44037</v>
      </c>
      <c r="L477" s="3">
        <f t="shared" ca="1" si="7"/>
        <v>3.8027777777777776</v>
      </c>
    </row>
    <row r="478" spans="1:12" x14ac:dyDescent="0.25">
      <c r="A478" s="4">
        <v>1307</v>
      </c>
      <c r="B478" s="4" t="s">
        <v>394</v>
      </c>
      <c r="C478" s="4" t="s">
        <v>479</v>
      </c>
      <c r="D478" s="4" t="s">
        <v>10</v>
      </c>
      <c r="E478" s="4" t="s">
        <v>19</v>
      </c>
      <c r="F478" s="6">
        <v>0</v>
      </c>
      <c r="G478" s="4">
        <v>2</v>
      </c>
      <c r="H478" s="2">
        <v>269034</v>
      </c>
      <c r="I478" s="4" t="s">
        <v>2</v>
      </c>
      <c r="J478" s="4" t="s">
        <v>1</v>
      </c>
      <c r="K478" s="5">
        <v>44055</v>
      </c>
      <c r="L478" s="3">
        <f t="shared" ca="1" si="7"/>
        <v>3.7555555555555555</v>
      </c>
    </row>
    <row r="479" spans="1:12" x14ac:dyDescent="0.25">
      <c r="A479" s="4">
        <v>1308</v>
      </c>
      <c r="B479" s="4" t="s">
        <v>395</v>
      </c>
      <c r="C479" s="4" t="s">
        <v>447</v>
      </c>
      <c r="D479" s="4" t="s">
        <v>9</v>
      </c>
      <c r="E479" s="4" t="s">
        <v>17</v>
      </c>
      <c r="F479" s="6">
        <v>0.43</v>
      </c>
      <c r="G479" s="4">
        <v>4</v>
      </c>
      <c r="H479" s="2">
        <v>136346</v>
      </c>
      <c r="I479" s="4" t="s">
        <v>2</v>
      </c>
      <c r="J479" s="4" t="s">
        <v>1</v>
      </c>
      <c r="K479" s="5">
        <v>43307</v>
      </c>
      <c r="L479" s="3">
        <f t="shared" ca="1" si="7"/>
        <v>5.8</v>
      </c>
    </row>
    <row r="480" spans="1:12" x14ac:dyDescent="0.25">
      <c r="A480" s="4">
        <v>1309</v>
      </c>
      <c r="B480" s="4" t="s">
        <v>396</v>
      </c>
      <c r="C480" s="4" t="s">
        <v>480</v>
      </c>
      <c r="D480" s="4" t="s">
        <v>4</v>
      </c>
      <c r="E480" s="4" t="s">
        <v>16</v>
      </c>
      <c r="F480" s="6">
        <v>0.01</v>
      </c>
      <c r="G480" s="4">
        <v>2</v>
      </c>
      <c r="H480" s="2">
        <v>184952</v>
      </c>
      <c r="I480" s="4" t="s">
        <v>2</v>
      </c>
      <c r="J480" s="4" t="s">
        <v>2</v>
      </c>
      <c r="K480" s="5">
        <v>43430</v>
      </c>
      <c r="L480" s="3">
        <f t="shared" ca="1" si="7"/>
        <v>5.4666666666666668</v>
      </c>
    </row>
    <row r="481" spans="1:12" x14ac:dyDescent="0.25">
      <c r="A481" s="4">
        <v>1310</v>
      </c>
      <c r="B481" s="4" t="s">
        <v>108</v>
      </c>
      <c r="C481" s="4" t="s">
        <v>454</v>
      </c>
      <c r="D481" s="4" t="s">
        <v>9</v>
      </c>
      <c r="E481" s="4" t="s">
        <v>16</v>
      </c>
      <c r="F481" s="6">
        <v>0.86</v>
      </c>
      <c r="G481" s="4">
        <v>0</v>
      </c>
      <c r="H481" s="2">
        <v>116343</v>
      </c>
      <c r="I481" s="4" t="s">
        <v>2</v>
      </c>
      <c r="J481" s="4" t="s">
        <v>1</v>
      </c>
      <c r="K481" s="5">
        <v>43520</v>
      </c>
      <c r="L481" s="3">
        <f t="shared" ca="1" si="7"/>
        <v>5.2222222222222223</v>
      </c>
    </row>
    <row r="482" spans="1:12" x14ac:dyDescent="0.25">
      <c r="A482" s="4">
        <v>1311</v>
      </c>
      <c r="B482" s="4" t="s">
        <v>190</v>
      </c>
      <c r="C482" s="4" t="s">
        <v>459</v>
      </c>
      <c r="D482" s="4" t="s">
        <v>14</v>
      </c>
      <c r="E482" s="4" t="s">
        <v>16</v>
      </c>
      <c r="F482" s="6">
        <v>0.91</v>
      </c>
      <c r="G482" s="4">
        <v>1</v>
      </c>
      <c r="H482" s="2">
        <v>244201</v>
      </c>
      <c r="I482" s="4" t="s">
        <v>2</v>
      </c>
      <c r="J482" s="4" t="s">
        <v>1</v>
      </c>
      <c r="K482" s="5">
        <v>43319</v>
      </c>
      <c r="L482" s="3">
        <f t="shared" ca="1" si="7"/>
        <v>5.7694444444444448</v>
      </c>
    </row>
    <row r="483" spans="1:12" x14ac:dyDescent="0.25">
      <c r="A483" s="4">
        <v>1314</v>
      </c>
      <c r="B483" s="4" t="s">
        <v>202</v>
      </c>
      <c r="C483" s="4" t="s">
        <v>467</v>
      </c>
      <c r="D483" s="4" t="s">
        <v>9</v>
      </c>
      <c r="E483" s="4" t="s">
        <v>21</v>
      </c>
      <c r="F483" s="6">
        <v>0.7</v>
      </c>
      <c r="G483" s="4">
        <v>4</v>
      </c>
      <c r="H483" s="2">
        <v>113338</v>
      </c>
      <c r="I483" s="4" t="s">
        <v>2</v>
      </c>
      <c r="J483" s="4" t="s">
        <v>1</v>
      </c>
      <c r="K483" s="5">
        <v>43411</v>
      </c>
      <c r="L483" s="3">
        <f t="shared" ca="1" si="7"/>
        <v>5.5194444444444448</v>
      </c>
    </row>
    <row r="484" spans="1:12" x14ac:dyDescent="0.25">
      <c r="A484" s="4">
        <v>1315</v>
      </c>
      <c r="B484" s="4" t="s">
        <v>206</v>
      </c>
      <c r="C484" s="4" t="s">
        <v>458</v>
      </c>
      <c r="D484" s="4" t="s">
        <v>14</v>
      </c>
      <c r="E484" s="4" t="s">
        <v>3</v>
      </c>
      <c r="F484" s="6">
        <v>0.04</v>
      </c>
      <c r="G484" s="4">
        <v>1</v>
      </c>
      <c r="H484" s="2">
        <v>224362</v>
      </c>
      <c r="I484" s="4" t="s">
        <v>2</v>
      </c>
      <c r="J484" s="4" t="s">
        <v>2</v>
      </c>
      <c r="K484" s="5">
        <v>43865</v>
      </c>
      <c r="L484" s="3">
        <f t="shared" ca="1" si="7"/>
        <v>4.2777777777777777</v>
      </c>
    </row>
    <row r="485" spans="1:12" x14ac:dyDescent="0.25">
      <c r="A485" s="4">
        <v>1316</v>
      </c>
      <c r="B485" s="4" t="s">
        <v>397</v>
      </c>
      <c r="C485" s="4" t="s">
        <v>476</v>
      </c>
      <c r="D485" s="4" t="s">
        <v>9</v>
      </c>
      <c r="E485" s="4" t="s">
        <v>18</v>
      </c>
      <c r="F485" s="6">
        <v>0.79</v>
      </c>
      <c r="G485" s="4">
        <v>3</v>
      </c>
      <c r="H485" s="2">
        <v>110897</v>
      </c>
      <c r="I485" s="4" t="s">
        <v>2</v>
      </c>
      <c r="J485" s="4" t="s">
        <v>1</v>
      </c>
      <c r="K485" s="5">
        <v>43806</v>
      </c>
      <c r="L485" s="3">
        <f t="shared" ca="1" si="7"/>
        <v>4.4361111111111109</v>
      </c>
    </row>
    <row r="486" spans="1:12" x14ac:dyDescent="0.25">
      <c r="A486" s="4">
        <v>1318</v>
      </c>
      <c r="B486" s="4" t="s">
        <v>398</v>
      </c>
      <c r="C486" s="4" t="s">
        <v>449</v>
      </c>
      <c r="D486" s="4" t="s">
        <v>4</v>
      </c>
      <c r="E486" s="4" t="s">
        <v>3</v>
      </c>
      <c r="F486" s="6">
        <v>0.57999999999999996</v>
      </c>
      <c r="G486" s="4">
        <v>3</v>
      </c>
      <c r="H486" s="2">
        <v>205372</v>
      </c>
      <c r="I486" s="4" t="s">
        <v>2</v>
      </c>
      <c r="J486" s="4" t="s">
        <v>1</v>
      </c>
      <c r="K486" s="5">
        <v>43166</v>
      </c>
      <c r="L486" s="3">
        <f t="shared" ca="1" si="7"/>
        <v>6.1861111111111109</v>
      </c>
    </row>
    <row r="487" spans="1:12" x14ac:dyDescent="0.25">
      <c r="A487" s="4">
        <v>1319</v>
      </c>
      <c r="B487" s="4" t="s">
        <v>399</v>
      </c>
      <c r="C487" s="4" t="s">
        <v>466</v>
      </c>
      <c r="D487" s="4" t="s">
        <v>10</v>
      </c>
      <c r="E487" s="4" t="s">
        <v>16</v>
      </c>
      <c r="F487" s="6">
        <v>0.95</v>
      </c>
      <c r="G487" s="4">
        <v>2</v>
      </c>
      <c r="H487" s="2">
        <v>274395</v>
      </c>
      <c r="I487" s="4" t="s">
        <v>2</v>
      </c>
      <c r="J487" s="4" t="s">
        <v>2</v>
      </c>
      <c r="K487" s="5">
        <v>44126</v>
      </c>
      <c r="L487" s="3">
        <f t="shared" ca="1" si="7"/>
        <v>3.5611111111111109</v>
      </c>
    </row>
    <row r="488" spans="1:12" x14ac:dyDescent="0.25">
      <c r="A488" s="4">
        <v>1320</v>
      </c>
      <c r="B488" s="4" t="s">
        <v>400</v>
      </c>
      <c r="C488" s="4" t="s">
        <v>462</v>
      </c>
      <c r="D488" s="4" t="s">
        <v>4</v>
      </c>
      <c r="E488" s="4" t="s">
        <v>15</v>
      </c>
      <c r="F488" s="6">
        <v>0.09</v>
      </c>
      <c r="G488" s="4">
        <v>0</v>
      </c>
      <c r="H488" s="2">
        <v>194428</v>
      </c>
      <c r="I488" s="4" t="s">
        <v>2</v>
      </c>
      <c r="J488" s="4" t="s">
        <v>2</v>
      </c>
      <c r="K488" s="5">
        <v>44138</v>
      </c>
      <c r="L488" s="3">
        <f t="shared" ca="1" si="7"/>
        <v>3.5305555555555554</v>
      </c>
    </row>
    <row r="489" spans="1:12" x14ac:dyDescent="0.25">
      <c r="A489" s="4">
        <v>1321</v>
      </c>
      <c r="B489" s="4" t="s">
        <v>401</v>
      </c>
      <c r="C489" s="4" t="s">
        <v>464</v>
      </c>
      <c r="D489" s="4" t="s">
        <v>10</v>
      </c>
      <c r="E489" s="4" t="s">
        <v>16</v>
      </c>
      <c r="F489" s="6">
        <v>0.66</v>
      </c>
      <c r="G489" s="4">
        <v>1</v>
      </c>
      <c r="H489" s="2">
        <v>258068</v>
      </c>
      <c r="I489" s="4" t="s">
        <v>2</v>
      </c>
      <c r="J489" s="4" t="s">
        <v>1</v>
      </c>
      <c r="K489" s="5">
        <v>43694</v>
      </c>
      <c r="L489" s="3">
        <f t="shared" ca="1" si="7"/>
        <v>4.7416666666666663</v>
      </c>
    </row>
    <row r="490" spans="1:12" x14ac:dyDescent="0.25">
      <c r="A490" s="4">
        <v>1322</v>
      </c>
      <c r="B490" s="4" t="s">
        <v>402</v>
      </c>
      <c r="C490" s="4" t="s">
        <v>457</v>
      </c>
      <c r="D490" s="4" t="s">
        <v>14</v>
      </c>
      <c r="E490" s="4" t="s">
        <v>16</v>
      </c>
      <c r="F490" s="6">
        <v>0.75</v>
      </c>
      <c r="G490" s="4">
        <v>5</v>
      </c>
      <c r="H490" s="2">
        <v>236885</v>
      </c>
      <c r="I490" s="4" t="s">
        <v>2</v>
      </c>
      <c r="J490" s="4" t="s">
        <v>1</v>
      </c>
      <c r="K490" s="5">
        <v>44172</v>
      </c>
      <c r="L490" s="3">
        <f t="shared" ca="1" si="7"/>
        <v>3.4361111111111109</v>
      </c>
    </row>
    <row r="491" spans="1:12" x14ac:dyDescent="0.25">
      <c r="A491" s="4">
        <v>1323</v>
      </c>
      <c r="B491" s="4" t="s">
        <v>134</v>
      </c>
      <c r="C491" s="4" t="s">
        <v>478</v>
      </c>
      <c r="D491" s="4" t="s">
        <v>9</v>
      </c>
      <c r="E491" s="4" t="s">
        <v>19</v>
      </c>
      <c r="F491" s="6">
        <v>0</v>
      </c>
      <c r="G491" s="4">
        <v>2</v>
      </c>
      <c r="H491" s="2">
        <v>113507</v>
      </c>
      <c r="I491" s="4" t="s">
        <v>2</v>
      </c>
      <c r="J491" s="4" t="s">
        <v>2</v>
      </c>
      <c r="K491" s="5">
        <v>44091</v>
      </c>
      <c r="L491" s="3">
        <f t="shared" ca="1" si="7"/>
        <v>3.6583333333333332</v>
      </c>
    </row>
    <row r="492" spans="1:12" x14ac:dyDescent="0.25">
      <c r="A492" s="4">
        <v>1325</v>
      </c>
      <c r="B492" s="4" t="s">
        <v>403</v>
      </c>
      <c r="C492" s="4" t="s">
        <v>445</v>
      </c>
      <c r="D492" s="4" t="s">
        <v>14</v>
      </c>
      <c r="E492" s="4" t="s">
        <v>17</v>
      </c>
      <c r="F492" s="6">
        <v>0.25</v>
      </c>
      <c r="G492" s="4">
        <v>2</v>
      </c>
      <c r="H492" s="2">
        <v>248746</v>
      </c>
      <c r="I492" s="4" t="s">
        <v>2</v>
      </c>
      <c r="J492" s="4" t="s">
        <v>2</v>
      </c>
      <c r="K492" s="5">
        <v>43462</v>
      </c>
      <c r="L492" s="3">
        <f t="shared" ca="1" si="7"/>
        <v>5.3777777777777782</v>
      </c>
    </row>
    <row r="493" spans="1:12" x14ac:dyDescent="0.25">
      <c r="A493" s="4">
        <v>1326</v>
      </c>
      <c r="B493" s="4" t="s">
        <v>404</v>
      </c>
      <c r="C493" s="4" t="s">
        <v>484</v>
      </c>
      <c r="D493" s="4" t="s">
        <v>9</v>
      </c>
      <c r="E493" s="4" t="s">
        <v>21</v>
      </c>
      <c r="F493" s="6">
        <v>0.32</v>
      </c>
      <c r="G493" s="4">
        <v>0</v>
      </c>
      <c r="H493" s="2">
        <v>114819</v>
      </c>
      <c r="I493" s="4" t="s">
        <v>2</v>
      </c>
      <c r="J493" s="4" t="s">
        <v>1</v>
      </c>
      <c r="K493" s="5">
        <v>44070</v>
      </c>
      <c r="L493" s="3">
        <f t="shared" ca="1" si="7"/>
        <v>3.713888888888889</v>
      </c>
    </row>
    <row r="494" spans="1:12" x14ac:dyDescent="0.25">
      <c r="A494" s="4">
        <v>1327</v>
      </c>
      <c r="B494" s="4" t="s">
        <v>405</v>
      </c>
      <c r="C494" s="4" t="s">
        <v>451</v>
      </c>
      <c r="D494" s="4" t="s">
        <v>14</v>
      </c>
      <c r="E494" s="4" t="s">
        <v>3</v>
      </c>
      <c r="F494" s="6">
        <v>0.61</v>
      </c>
      <c r="G494" s="4">
        <v>0</v>
      </c>
      <c r="H494" s="2">
        <v>233960</v>
      </c>
      <c r="I494" s="4" t="s">
        <v>2</v>
      </c>
      <c r="J494" s="4" t="s">
        <v>2</v>
      </c>
      <c r="K494" s="5">
        <v>42998</v>
      </c>
      <c r="L494" s="3">
        <f t="shared" ca="1" si="7"/>
        <v>6.65</v>
      </c>
    </row>
    <row r="495" spans="1:12" x14ac:dyDescent="0.25">
      <c r="A495" s="4">
        <v>1328</v>
      </c>
      <c r="B495" s="4" t="s">
        <v>406</v>
      </c>
      <c r="C495" s="4" t="s">
        <v>440</v>
      </c>
      <c r="D495" s="4" t="s">
        <v>10</v>
      </c>
      <c r="E495" s="4" t="s">
        <v>17</v>
      </c>
      <c r="F495" s="6">
        <v>0.6</v>
      </c>
      <c r="G495" s="4">
        <v>5</v>
      </c>
      <c r="H495" s="2">
        <v>255605</v>
      </c>
      <c r="I495" s="4" t="s">
        <v>2</v>
      </c>
      <c r="J495" s="4" t="s">
        <v>1</v>
      </c>
      <c r="K495" s="5">
        <v>42854</v>
      </c>
      <c r="L495" s="3">
        <f t="shared" ca="1" si="7"/>
        <v>7.041666666666667</v>
      </c>
    </row>
    <row r="496" spans="1:12" x14ac:dyDescent="0.25">
      <c r="A496" s="4">
        <v>1329</v>
      </c>
      <c r="B496" s="4" t="s">
        <v>407</v>
      </c>
      <c r="C496" s="4" t="s">
        <v>472</v>
      </c>
      <c r="D496" s="4" t="s">
        <v>8</v>
      </c>
      <c r="E496" s="4" t="s">
        <v>16</v>
      </c>
      <c r="F496" s="6">
        <v>0.74</v>
      </c>
      <c r="G496" s="4">
        <v>0</v>
      </c>
      <c r="H496" s="2">
        <v>85119</v>
      </c>
      <c r="I496" s="4" t="s">
        <v>2</v>
      </c>
      <c r="J496" s="4" t="s">
        <v>1</v>
      </c>
      <c r="K496" s="5">
        <v>43282</v>
      </c>
      <c r="L496" s="3">
        <f t="shared" ca="1" si="7"/>
        <v>5.8694444444444445</v>
      </c>
    </row>
    <row r="497" spans="1:12" x14ac:dyDescent="0.25">
      <c r="A497" s="4">
        <v>1330</v>
      </c>
      <c r="B497" s="4" t="s">
        <v>408</v>
      </c>
      <c r="C497" s="4" t="s">
        <v>463</v>
      </c>
      <c r="D497" s="4" t="s">
        <v>8</v>
      </c>
      <c r="E497" s="4" t="s">
        <v>18</v>
      </c>
      <c r="F497" s="6">
        <v>0.8</v>
      </c>
      <c r="G497" s="4">
        <v>4</v>
      </c>
      <c r="H497" s="2">
        <v>81283</v>
      </c>
      <c r="I497" s="4" t="s">
        <v>2</v>
      </c>
      <c r="J497" s="4" t="s">
        <v>1</v>
      </c>
      <c r="K497" s="5">
        <v>43245</v>
      </c>
      <c r="L497" s="3">
        <f t="shared" ca="1" si="7"/>
        <v>5.9694444444444441</v>
      </c>
    </row>
    <row r="498" spans="1:12" x14ac:dyDescent="0.25">
      <c r="A498" s="4">
        <v>1331</v>
      </c>
      <c r="B498" s="4" t="s">
        <v>293</v>
      </c>
      <c r="C498" s="4" t="s">
        <v>470</v>
      </c>
      <c r="D498" s="4" t="s">
        <v>4</v>
      </c>
      <c r="E498" s="4" t="s">
        <v>21</v>
      </c>
      <c r="F498" s="6">
        <v>0.54</v>
      </c>
      <c r="G498" s="4">
        <v>4</v>
      </c>
      <c r="H498" s="2">
        <v>198721</v>
      </c>
      <c r="I498" s="4" t="s">
        <v>2</v>
      </c>
      <c r="J498" s="4" t="s">
        <v>1</v>
      </c>
      <c r="K498" s="5">
        <v>43831</v>
      </c>
      <c r="L498" s="3">
        <f t="shared" ca="1" si="7"/>
        <v>4.3694444444444445</v>
      </c>
    </row>
    <row r="499" spans="1:12" x14ac:dyDescent="0.25">
      <c r="A499" s="4">
        <v>1332</v>
      </c>
      <c r="B499" s="4" t="s">
        <v>409</v>
      </c>
      <c r="C499" s="4" t="s">
        <v>442</v>
      </c>
      <c r="D499" s="4" t="s">
        <v>14</v>
      </c>
      <c r="E499" s="4" t="s">
        <v>20</v>
      </c>
      <c r="F499" s="6">
        <v>0.94</v>
      </c>
      <c r="G499" s="4">
        <v>0</v>
      </c>
      <c r="H499" s="2">
        <v>231255</v>
      </c>
      <c r="I499" s="4" t="s">
        <v>2</v>
      </c>
      <c r="J499" s="4" t="s">
        <v>2</v>
      </c>
      <c r="K499" s="5">
        <v>44016</v>
      </c>
      <c r="L499" s="3">
        <f t="shared" ca="1" si="7"/>
        <v>3.8611111111111112</v>
      </c>
    </row>
    <row r="500" spans="1:12" x14ac:dyDescent="0.25">
      <c r="A500" s="4">
        <v>1333</v>
      </c>
      <c r="B500" s="4" t="s">
        <v>410</v>
      </c>
      <c r="C500" s="4" t="s">
        <v>438</v>
      </c>
      <c r="D500" s="4" t="s">
        <v>14</v>
      </c>
      <c r="E500" s="4" t="s">
        <v>20</v>
      </c>
      <c r="F500" s="6">
        <v>0.48</v>
      </c>
      <c r="G500" s="4">
        <v>0</v>
      </c>
      <c r="H500" s="2">
        <v>238968</v>
      </c>
      <c r="I500" s="4" t="s">
        <v>2</v>
      </c>
      <c r="J500" s="4" t="s">
        <v>1</v>
      </c>
      <c r="K500" s="5">
        <v>43187</v>
      </c>
      <c r="L500" s="3">
        <f t="shared" ca="1" si="7"/>
        <v>6.1277777777777782</v>
      </c>
    </row>
    <row r="501" spans="1:12" x14ac:dyDescent="0.25">
      <c r="A501" s="4">
        <v>1334</v>
      </c>
      <c r="B501" s="4" t="s">
        <v>260</v>
      </c>
      <c r="C501" s="4" t="s">
        <v>455</v>
      </c>
      <c r="D501" s="4" t="s">
        <v>8</v>
      </c>
      <c r="E501" s="4" t="s">
        <v>3</v>
      </c>
      <c r="F501" s="6">
        <v>0.32</v>
      </c>
      <c r="G501" s="4">
        <v>3</v>
      </c>
      <c r="H501" s="2">
        <v>79429</v>
      </c>
      <c r="I501" s="4" t="s">
        <v>2</v>
      </c>
      <c r="J501" s="4" t="s">
        <v>1</v>
      </c>
      <c r="K501" s="5">
        <v>43245</v>
      </c>
      <c r="L501" s="3">
        <f t="shared" ca="1" si="7"/>
        <v>5.9694444444444441</v>
      </c>
    </row>
    <row r="502" spans="1:12" x14ac:dyDescent="0.25">
      <c r="A502" s="4">
        <v>1335</v>
      </c>
      <c r="B502" s="4" t="s">
        <v>411</v>
      </c>
      <c r="C502" s="4" t="s">
        <v>453</v>
      </c>
      <c r="D502" s="4" t="s">
        <v>10</v>
      </c>
      <c r="E502" s="4" t="s">
        <v>18</v>
      </c>
      <c r="F502" s="6">
        <v>0.17</v>
      </c>
      <c r="G502" s="4">
        <v>3</v>
      </c>
      <c r="H502" s="2">
        <v>271411</v>
      </c>
      <c r="I502" s="4" t="s">
        <v>2</v>
      </c>
      <c r="J502" s="4" t="s">
        <v>2</v>
      </c>
      <c r="K502" s="5">
        <v>43575</v>
      </c>
      <c r="L502" s="3">
        <f t="shared" ca="1" si="7"/>
        <v>5.0666666666666664</v>
      </c>
    </row>
    <row r="503" spans="1:12" x14ac:dyDescent="0.25">
      <c r="A503" s="4">
        <v>1337</v>
      </c>
      <c r="B503" s="4" t="s">
        <v>277</v>
      </c>
      <c r="C503" s="4" t="s">
        <v>483</v>
      </c>
      <c r="D503" s="4" t="s">
        <v>8</v>
      </c>
      <c r="E503" s="4" t="s">
        <v>15</v>
      </c>
      <c r="F503" s="6">
        <v>0.11</v>
      </c>
      <c r="G503" s="4">
        <v>2</v>
      </c>
      <c r="H503" s="2">
        <v>66406</v>
      </c>
      <c r="I503" s="4" t="s">
        <v>2</v>
      </c>
      <c r="J503" s="4" t="s">
        <v>2</v>
      </c>
      <c r="K503" s="5">
        <v>42871</v>
      </c>
      <c r="L503" s="3">
        <f t="shared" ca="1" si="7"/>
        <v>6.9944444444444445</v>
      </c>
    </row>
    <row r="504" spans="1:12" x14ac:dyDescent="0.25">
      <c r="A504" s="4">
        <v>1339</v>
      </c>
      <c r="B504" s="4" t="s">
        <v>412</v>
      </c>
      <c r="C504" s="4" t="s">
        <v>479</v>
      </c>
      <c r="D504" s="4" t="s">
        <v>14</v>
      </c>
      <c r="E504" s="4" t="s">
        <v>3</v>
      </c>
      <c r="F504" s="6">
        <v>0.36</v>
      </c>
      <c r="G504" s="4">
        <v>4</v>
      </c>
      <c r="H504" s="2">
        <v>242694</v>
      </c>
      <c r="I504" s="4" t="s">
        <v>2</v>
      </c>
      <c r="J504" s="4" t="s">
        <v>1</v>
      </c>
      <c r="K504" s="5">
        <v>43660</v>
      </c>
      <c r="L504" s="3">
        <f t="shared" ca="1" si="7"/>
        <v>4.833333333333333</v>
      </c>
    </row>
    <row r="505" spans="1:12" x14ac:dyDescent="0.25">
      <c r="A505" s="4">
        <v>1340</v>
      </c>
      <c r="B505" s="4" t="s">
        <v>326</v>
      </c>
      <c r="C505" s="4" t="s">
        <v>473</v>
      </c>
      <c r="D505" s="4" t="s">
        <v>4</v>
      </c>
      <c r="E505" s="4" t="s">
        <v>3</v>
      </c>
      <c r="F505" s="6">
        <v>0.5</v>
      </c>
      <c r="G505" s="4">
        <v>1</v>
      </c>
      <c r="H505" s="2">
        <v>192265</v>
      </c>
      <c r="I505" s="4" t="s">
        <v>2</v>
      </c>
      <c r="J505" s="4" t="s">
        <v>2</v>
      </c>
      <c r="K505" s="5">
        <v>43106</v>
      </c>
      <c r="L505" s="3">
        <f t="shared" ca="1" si="7"/>
        <v>6.3555555555555552</v>
      </c>
    </row>
    <row r="506" spans="1:12" x14ac:dyDescent="0.25">
      <c r="A506" s="4">
        <v>1341</v>
      </c>
      <c r="B506" s="4" t="s">
        <v>425</v>
      </c>
      <c r="C506" s="4" t="s">
        <v>460</v>
      </c>
      <c r="D506" s="4" t="s">
        <v>9</v>
      </c>
      <c r="E506" s="4" t="s">
        <v>19</v>
      </c>
      <c r="F506" s="6">
        <v>0</v>
      </c>
      <c r="G506" s="4">
        <v>1</v>
      </c>
      <c r="H506" s="2">
        <v>117613</v>
      </c>
      <c r="I506" s="4" t="s">
        <v>2</v>
      </c>
      <c r="J506" s="4" t="s">
        <v>1</v>
      </c>
      <c r="K506" s="5">
        <v>43786</v>
      </c>
      <c r="L506" s="3">
        <f t="shared" ca="1" si="7"/>
        <v>4.4916666666666663</v>
      </c>
    </row>
    <row r="507" spans="1:12" x14ac:dyDescent="0.25">
      <c r="A507" s="4">
        <v>1342</v>
      </c>
      <c r="B507" s="4" t="s">
        <v>417</v>
      </c>
      <c r="C507" s="4" t="s">
        <v>436</v>
      </c>
      <c r="D507" s="4" t="s">
        <v>14</v>
      </c>
      <c r="E507" s="4" t="s">
        <v>19</v>
      </c>
      <c r="F507" s="6">
        <v>0</v>
      </c>
      <c r="G507" s="4">
        <v>3</v>
      </c>
      <c r="H507" s="2">
        <v>244660</v>
      </c>
      <c r="I507" s="4" t="s">
        <v>2</v>
      </c>
      <c r="J507" s="4" t="s">
        <v>2</v>
      </c>
      <c r="K507" s="5">
        <v>44080</v>
      </c>
      <c r="L507" s="3">
        <f t="shared" ca="1" si="7"/>
        <v>3.6888888888888891</v>
      </c>
    </row>
    <row r="508" spans="1:12" x14ac:dyDescent="0.25">
      <c r="A508" s="4">
        <v>1343</v>
      </c>
      <c r="B508" s="4" t="s">
        <v>418</v>
      </c>
      <c r="C508" s="4" t="s">
        <v>456</v>
      </c>
      <c r="D508" s="4" t="s">
        <v>9</v>
      </c>
      <c r="E508" s="4" t="s">
        <v>3</v>
      </c>
      <c r="F508" s="6">
        <v>0.88</v>
      </c>
      <c r="G508" s="4">
        <v>4</v>
      </c>
      <c r="H508" s="2">
        <v>118689</v>
      </c>
      <c r="I508" s="4" t="s">
        <v>2</v>
      </c>
      <c r="J508" s="4" t="s">
        <v>1</v>
      </c>
      <c r="K508" s="5">
        <v>43896</v>
      </c>
      <c r="L508" s="3">
        <f t="shared" ca="1" si="7"/>
        <v>4.1888888888888891</v>
      </c>
    </row>
    <row r="509" spans="1:12" x14ac:dyDescent="0.25">
      <c r="A509" s="4">
        <v>1345</v>
      </c>
      <c r="B509" s="4" t="s">
        <v>419</v>
      </c>
      <c r="C509" s="4" t="s">
        <v>441</v>
      </c>
      <c r="D509" s="4" t="s">
        <v>8</v>
      </c>
      <c r="E509" s="4" t="s">
        <v>16</v>
      </c>
      <c r="F509" s="6">
        <v>0.74</v>
      </c>
      <c r="G509" s="4">
        <v>4</v>
      </c>
      <c r="H509" s="2">
        <v>91192</v>
      </c>
      <c r="I509" s="4" t="s">
        <v>2</v>
      </c>
      <c r="J509" s="4" t="s">
        <v>1</v>
      </c>
      <c r="K509" s="5">
        <v>44075</v>
      </c>
      <c r="L509" s="3">
        <f t="shared" ca="1" si="7"/>
        <v>3.7027777777777779</v>
      </c>
    </row>
    <row r="510" spans="1:12" x14ac:dyDescent="0.25">
      <c r="A510" s="4">
        <v>1346</v>
      </c>
      <c r="B510" s="4" t="s">
        <v>420</v>
      </c>
      <c r="C510" s="4" t="s">
        <v>452</v>
      </c>
      <c r="D510" s="4" t="s">
        <v>9</v>
      </c>
      <c r="E510" s="4" t="s">
        <v>21</v>
      </c>
      <c r="F510" s="6">
        <v>0.88</v>
      </c>
      <c r="G510" s="4">
        <v>4</v>
      </c>
      <c r="H510" s="2">
        <v>128141</v>
      </c>
      <c r="I510" s="4" t="s">
        <v>2</v>
      </c>
      <c r="J510" s="4" t="s">
        <v>1</v>
      </c>
      <c r="K510" s="5">
        <v>43867</v>
      </c>
      <c r="L510" s="3">
        <f t="shared" ca="1" si="7"/>
        <v>4.2722222222222221</v>
      </c>
    </row>
    <row r="511" spans="1:12" x14ac:dyDescent="0.25">
      <c r="A511" s="4">
        <v>1347</v>
      </c>
      <c r="B511" s="4" t="s">
        <v>421</v>
      </c>
      <c r="C511" s="4" t="s">
        <v>444</v>
      </c>
      <c r="D511" s="4" t="s">
        <v>9</v>
      </c>
      <c r="E511" s="4" t="s">
        <v>20</v>
      </c>
      <c r="F511" s="6">
        <v>0.66</v>
      </c>
      <c r="G511" s="4">
        <v>3</v>
      </c>
      <c r="H511" s="2">
        <v>132193</v>
      </c>
      <c r="I511" s="4" t="s">
        <v>2</v>
      </c>
      <c r="J511" s="4" t="s">
        <v>2</v>
      </c>
      <c r="K511" s="5">
        <v>43081</v>
      </c>
      <c r="L511" s="3">
        <f t="shared" ca="1" si="7"/>
        <v>6.4222222222222225</v>
      </c>
    </row>
    <row r="512" spans="1:12" x14ac:dyDescent="0.25">
      <c r="A512" s="4">
        <v>1348</v>
      </c>
      <c r="B512" s="4" t="s">
        <v>422</v>
      </c>
      <c r="C512" s="4" t="s">
        <v>465</v>
      </c>
      <c r="D512" s="4" t="s">
        <v>14</v>
      </c>
      <c r="E512" s="4" t="s">
        <v>18</v>
      </c>
      <c r="F512" s="6">
        <v>0.01</v>
      </c>
      <c r="G512" s="4">
        <v>2</v>
      </c>
      <c r="H512" s="2">
        <v>236491</v>
      </c>
      <c r="I512" s="4" t="s">
        <v>2</v>
      </c>
      <c r="J512" s="4" t="s">
        <v>2</v>
      </c>
      <c r="K512" s="5">
        <v>43250</v>
      </c>
      <c r="L512" s="3">
        <f t="shared" ca="1" si="7"/>
        <v>5.9555555555555557</v>
      </c>
    </row>
    <row r="513" spans="1:12" x14ac:dyDescent="0.25">
      <c r="A513" s="4">
        <v>1349</v>
      </c>
      <c r="B513" s="4" t="s">
        <v>423</v>
      </c>
      <c r="C513" s="4" t="s">
        <v>476</v>
      </c>
      <c r="D513" s="4" t="s">
        <v>10</v>
      </c>
      <c r="E513" s="4" t="s">
        <v>21</v>
      </c>
      <c r="F513" s="6">
        <v>0.85</v>
      </c>
      <c r="G513" s="4">
        <v>3</v>
      </c>
      <c r="H513" s="2">
        <v>255261</v>
      </c>
      <c r="I513" s="4" t="s">
        <v>2</v>
      </c>
      <c r="J513" s="4" t="s">
        <v>1</v>
      </c>
      <c r="K513" s="5">
        <v>44055</v>
      </c>
      <c r="L513" s="3">
        <f t="shared" ca="1" si="7"/>
        <v>3.7555555555555555</v>
      </c>
    </row>
    <row r="514" spans="1:12" x14ac:dyDescent="0.25">
      <c r="A514" s="4">
        <v>1350</v>
      </c>
      <c r="B514" s="4" t="s">
        <v>424</v>
      </c>
      <c r="C514" s="4" t="s">
        <v>470</v>
      </c>
      <c r="D514" s="4" t="s">
        <v>10</v>
      </c>
      <c r="E514" s="4" t="s">
        <v>20</v>
      </c>
      <c r="F514" s="6">
        <v>0.63</v>
      </c>
      <c r="G514" s="4">
        <v>5</v>
      </c>
      <c r="H514" s="2">
        <v>273761</v>
      </c>
      <c r="I514" s="4" t="s">
        <v>2</v>
      </c>
      <c r="J514" s="4" t="s">
        <v>1</v>
      </c>
      <c r="K514" s="5">
        <v>43531</v>
      </c>
      <c r="L514" s="3">
        <f t="shared" ca="1" si="7"/>
        <v>5.1861111111111109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3A79F-1507-4FDC-9A18-530C987CAE63}">
  <sheetPr codeName="Sheet5"/>
  <dimension ref="A3:B13"/>
  <sheetViews>
    <sheetView workbookViewId="0">
      <selection activeCell="D33" sqref="D33"/>
    </sheetView>
  </sheetViews>
  <sheetFormatPr defaultRowHeight="15" x14ac:dyDescent="0.25"/>
  <cols>
    <col min="1" max="1" width="23.85546875" bestFit="1" customWidth="1"/>
    <col min="2" max="2" width="22.140625" bestFit="1" customWidth="1"/>
  </cols>
  <sheetData>
    <row r="3" spans="1:2" x14ac:dyDescent="0.25">
      <c r="A3" s="16" t="s">
        <v>426</v>
      </c>
      <c r="B3" t="s">
        <v>428</v>
      </c>
    </row>
    <row r="4" spans="1:2" x14ac:dyDescent="0.25">
      <c r="A4" s="17" t="s">
        <v>13</v>
      </c>
      <c r="B4" s="18">
        <v>350000</v>
      </c>
    </row>
    <row r="5" spans="1:2" x14ac:dyDescent="0.25">
      <c r="A5" s="17" t="s">
        <v>16</v>
      </c>
      <c r="B5" s="18">
        <v>10562794</v>
      </c>
    </row>
    <row r="6" spans="1:2" x14ac:dyDescent="0.25">
      <c r="A6" s="17" t="s">
        <v>17</v>
      </c>
      <c r="B6" s="18">
        <v>13608218</v>
      </c>
    </row>
    <row r="7" spans="1:2" x14ac:dyDescent="0.25">
      <c r="A7" s="17" t="s">
        <v>18</v>
      </c>
      <c r="B7" s="18">
        <v>10975608</v>
      </c>
    </row>
    <row r="8" spans="1:2" x14ac:dyDescent="0.25">
      <c r="A8" s="17" t="s">
        <v>20</v>
      </c>
      <c r="B8" s="18">
        <v>12331403</v>
      </c>
    </row>
    <row r="9" spans="1:2" x14ac:dyDescent="0.25">
      <c r="A9" s="17" t="s">
        <v>19</v>
      </c>
      <c r="B9" s="18">
        <v>11084787</v>
      </c>
    </row>
    <row r="10" spans="1:2" x14ac:dyDescent="0.25">
      <c r="A10" s="17" t="s">
        <v>21</v>
      </c>
      <c r="B10" s="18">
        <v>10901416</v>
      </c>
    </row>
    <row r="11" spans="1:2" x14ac:dyDescent="0.25">
      <c r="A11" s="17" t="s">
        <v>3</v>
      </c>
      <c r="B11" s="18">
        <v>14070721</v>
      </c>
    </row>
    <row r="12" spans="1:2" x14ac:dyDescent="0.25">
      <c r="A12" s="17" t="s">
        <v>15</v>
      </c>
      <c r="B12" s="18">
        <v>10341596</v>
      </c>
    </row>
    <row r="13" spans="1:2" x14ac:dyDescent="0.25">
      <c r="A13" s="17" t="s">
        <v>427</v>
      </c>
      <c r="B13" s="18">
        <v>94226543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0FB89-68D2-4E3E-9379-8CAAE72B346A}">
  <sheetPr codeName="Sheet7"/>
  <dimension ref="A3:B12"/>
  <sheetViews>
    <sheetView workbookViewId="0">
      <selection activeCell="H27" sqref="H27"/>
    </sheetView>
  </sheetViews>
  <sheetFormatPr defaultRowHeight="15" x14ac:dyDescent="0.25"/>
  <cols>
    <col min="1" max="1" width="15" bestFit="1" customWidth="1"/>
    <col min="2" max="2" width="25.7109375" bestFit="1" customWidth="1"/>
    <col min="3" max="8" width="2" bestFit="1" customWidth="1"/>
    <col min="9" max="9" width="2" customWidth="1"/>
    <col min="10" max="24" width="2" bestFit="1" customWidth="1"/>
    <col min="25" max="25" width="2" customWidth="1"/>
    <col min="26" max="425" width="2" bestFit="1" customWidth="1"/>
    <col min="426" max="426" width="11.28515625" bestFit="1" customWidth="1"/>
  </cols>
  <sheetData>
    <row r="3" spans="1:2" x14ac:dyDescent="0.25">
      <c r="A3" s="16" t="s">
        <v>426</v>
      </c>
      <c r="B3" t="s">
        <v>431</v>
      </c>
    </row>
    <row r="4" spans="1:2" x14ac:dyDescent="0.25">
      <c r="A4" s="17" t="s">
        <v>13</v>
      </c>
      <c r="B4" s="18">
        <v>350000</v>
      </c>
    </row>
    <row r="5" spans="1:2" x14ac:dyDescent="0.25">
      <c r="A5" s="17" t="s">
        <v>11</v>
      </c>
      <c r="B5" s="18">
        <v>289757.14285714284</v>
      </c>
    </row>
    <row r="6" spans="1:2" x14ac:dyDescent="0.25">
      <c r="A6" s="17" t="s">
        <v>8</v>
      </c>
      <c r="B6" s="18">
        <v>80359.647727272721</v>
      </c>
    </row>
    <row r="7" spans="1:2" x14ac:dyDescent="0.25">
      <c r="A7" s="17" t="s">
        <v>4</v>
      </c>
      <c r="B7" s="18">
        <v>195022.60824742267</v>
      </c>
    </row>
    <row r="8" spans="1:2" x14ac:dyDescent="0.25">
      <c r="A8" s="17" t="s">
        <v>10</v>
      </c>
      <c r="B8" s="18">
        <v>263604.09638554219</v>
      </c>
    </row>
    <row r="9" spans="1:2" x14ac:dyDescent="0.25">
      <c r="A9" s="17" t="s">
        <v>9</v>
      </c>
      <c r="B9" s="18">
        <v>125519.67826086956</v>
      </c>
    </row>
    <row r="10" spans="1:2" x14ac:dyDescent="0.25">
      <c r="A10" s="17" t="s">
        <v>14</v>
      </c>
      <c r="B10" s="18">
        <v>236288.76576576577</v>
      </c>
    </row>
    <row r="11" spans="1:2" x14ac:dyDescent="0.25">
      <c r="A11" s="17" t="s">
        <v>12</v>
      </c>
      <c r="B11" s="18">
        <v>322286.25</v>
      </c>
    </row>
    <row r="12" spans="1:2" x14ac:dyDescent="0.25">
      <c r="A12" s="17" t="s">
        <v>427</v>
      </c>
      <c r="B12" s="18">
        <v>183677.47173489278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66C0A-FE7A-4FDC-9B59-E8F3E3920327}">
  <sheetPr codeName="Sheet6"/>
  <dimension ref="A3:B14"/>
  <sheetViews>
    <sheetView workbookViewId="0">
      <selection activeCell="B6" sqref="B6"/>
    </sheetView>
  </sheetViews>
  <sheetFormatPr defaultRowHeight="15" x14ac:dyDescent="0.25"/>
  <cols>
    <col min="1" max="1" width="15.5703125" bestFit="1" customWidth="1"/>
    <col min="2" max="2" width="22.140625" bestFit="1" customWidth="1"/>
    <col min="3" max="3" width="23.7109375" bestFit="1" customWidth="1"/>
    <col min="4" max="425" width="2" bestFit="1" customWidth="1"/>
    <col min="426" max="426" width="11.28515625" bestFit="1" customWidth="1"/>
  </cols>
  <sheetData>
    <row r="3" spans="1:2" x14ac:dyDescent="0.25">
      <c r="A3" s="16" t="s">
        <v>426</v>
      </c>
      <c r="B3" t="s">
        <v>428</v>
      </c>
    </row>
    <row r="4" spans="1:2" x14ac:dyDescent="0.25">
      <c r="A4" s="17" t="s">
        <v>213</v>
      </c>
      <c r="B4" s="18">
        <v>728827</v>
      </c>
    </row>
    <row r="5" spans="1:2" x14ac:dyDescent="0.25">
      <c r="A5" s="17" t="s">
        <v>158</v>
      </c>
      <c r="B5" s="18">
        <v>630840</v>
      </c>
    </row>
    <row r="6" spans="1:2" x14ac:dyDescent="0.25">
      <c r="A6" s="17" t="s">
        <v>206</v>
      </c>
      <c r="B6" s="18">
        <v>743127</v>
      </c>
    </row>
    <row r="7" spans="1:2" x14ac:dyDescent="0.25">
      <c r="A7" s="17" t="s">
        <v>377</v>
      </c>
      <c r="B7" s="18">
        <v>613598</v>
      </c>
    </row>
    <row r="8" spans="1:2" x14ac:dyDescent="0.25">
      <c r="A8" s="17" t="s">
        <v>298</v>
      </c>
      <c r="B8" s="18">
        <v>972253</v>
      </c>
    </row>
    <row r="9" spans="1:2" x14ac:dyDescent="0.25">
      <c r="A9" s="17" t="s">
        <v>202</v>
      </c>
      <c r="B9" s="18">
        <v>1158298</v>
      </c>
    </row>
    <row r="10" spans="1:2" x14ac:dyDescent="0.25">
      <c r="A10" s="17" t="s">
        <v>277</v>
      </c>
      <c r="B10" s="18">
        <v>725654</v>
      </c>
    </row>
    <row r="11" spans="1:2" x14ac:dyDescent="0.25">
      <c r="A11" s="17" t="s">
        <v>217</v>
      </c>
      <c r="B11" s="18">
        <v>869042</v>
      </c>
    </row>
    <row r="12" spans="1:2" x14ac:dyDescent="0.25">
      <c r="A12" s="17" t="s">
        <v>172</v>
      </c>
      <c r="B12" s="18">
        <v>824493</v>
      </c>
    </row>
    <row r="13" spans="1:2" x14ac:dyDescent="0.25">
      <c r="A13" s="17" t="s">
        <v>122</v>
      </c>
      <c r="B13" s="18">
        <v>607046</v>
      </c>
    </row>
    <row r="14" spans="1:2" x14ac:dyDescent="0.25">
      <c r="A14" s="17" t="s">
        <v>427</v>
      </c>
      <c r="B14" s="18">
        <v>7873178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BBD1B-2933-42E3-9C41-5FC39480195A}">
  <sheetPr codeName="Sheet9"/>
  <dimension ref="A3:B54"/>
  <sheetViews>
    <sheetView topLeftCell="A17" workbookViewId="0">
      <selection activeCell="D40" sqref="D40"/>
    </sheetView>
  </sheetViews>
  <sheetFormatPr defaultColWidth="19.85546875" defaultRowHeight="15" x14ac:dyDescent="0.25"/>
  <cols>
    <col min="1" max="1" width="15.28515625" bestFit="1" customWidth="1"/>
    <col min="2" max="2" width="14.85546875" bestFit="1" customWidth="1"/>
    <col min="3" max="52" width="15.28515625" bestFit="1" customWidth="1"/>
    <col min="53" max="53" width="11.28515625" bestFit="1" customWidth="1"/>
  </cols>
  <sheetData>
    <row r="3" spans="1:2" x14ac:dyDescent="0.25">
      <c r="A3" s="16" t="s">
        <v>435</v>
      </c>
      <c r="B3" t="s">
        <v>429</v>
      </c>
    </row>
    <row r="4" spans="1:2" x14ac:dyDescent="0.25">
      <c r="A4" t="s">
        <v>436</v>
      </c>
      <c r="B4" s="19">
        <v>13</v>
      </c>
    </row>
    <row r="5" spans="1:2" x14ac:dyDescent="0.25">
      <c r="A5" t="s">
        <v>437</v>
      </c>
      <c r="B5" s="19">
        <v>5</v>
      </c>
    </row>
    <row r="6" spans="1:2" x14ac:dyDescent="0.25">
      <c r="A6" t="s">
        <v>438</v>
      </c>
      <c r="B6" s="19">
        <v>10</v>
      </c>
    </row>
    <row r="7" spans="1:2" x14ac:dyDescent="0.25">
      <c r="A7" t="s">
        <v>439</v>
      </c>
      <c r="B7" s="19">
        <v>5</v>
      </c>
    </row>
    <row r="8" spans="1:2" x14ac:dyDescent="0.25">
      <c r="A8" t="s">
        <v>440</v>
      </c>
      <c r="B8" s="19">
        <v>13</v>
      </c>
    </row>
    <row r="9" spans="1:2" x14ac:dyDescent="0.25">
      <c r="A9" t="s">
        <v>441</v>
      </c>
      <c r="B9" s="19">
        <v>14</v>
      </c>
    </row>
    <row r="10" spans="1:2" x14ac:dyDescent="0.25">
      <c r="A10" t="s">
        <v>442</v>
      </c>
      <c r="B10" s="19">
        <v>14</v>
      </c>
    </row>
    <row r="11" spans="1:2" x14ac:dyDescent="0.25">
      <c r="A11" t="s">
        <v>443</v>
      </c>
      <c r="B11" s="19">
        <v>5</v>
      </c>
    </row>
    <row r="12" spans="1:2" x14ac:dyDescent="0.25">
      <c r="A12" t="s">
        <v>444</v>
      </c>
      <c r="B12" s="19">
        <v>13</v>
      </c>
    </row>
    <row r="13" spans="1:2" x14ac:dyDescent="0.25">
      <c r="A13" t="s">
        <v>445</v>
      </c>
      <c r="B13" s="19">
        <v>11</v>
      </c>
    </row>
    <row r="14" spans="1:2" x14ac:dyDescent="0.25">
      <c r="A14" t="s">
        <v>446</v>
      </c>
      <c r="B14" s="19">
        <v>5</v>
      </c>
    </row>
    <row r="15" spans="1:2" x14ac:dyDescent="0.25">
      <c r="A15" t="s">
        <v>447</v>
      </c>
      <c r="B15" s="19">
        <v>10</v>
      </c>
    </row>
    <row r="16" spans="1:2" x14ac:dyDescent="0.25">
      <c r="A16" t="s">
        <v>448</v>
      </c>
      <c r="B16" s="19">
        <v>8</v>
      </c>
    </row>
    <row r="17" spans="1:2" x14ac:dyDescent="0.25">
      <c r="A17" t="s">
        <v>449</v>
      </c>
      <c r="B17" s="19">
        <v>13</v>
      </c>
    </row>
    <row r="18" spans="1:2" x14ac:dyDescent="0.25">
      <c r="A18" t="s">
        <v>450</v>
      </c>
      <c r="B18" s="19">
        <v>7</v>
      </c>
    </row>
    <row r="19" spans="1:2" x14ac:dyDescent="0.25">
      <c r="A19" t="s">
        <v>451</v>
      </c>
      <c r="B19" s="19">
        <v>11</v>
      </c>
    </row>
    <row r="20" spans="1:2" x14ac:dyDescent="0.25">
      <c r="A20" t="s">
        <v>452</v>
      </c>
      <c r="B20" s="19">
        <v>12</v>
      </c>
    </row>
    <row r="21" spans="1:2" x14ac:dyDescent="0.25">
      <c r="A21" t="s">
        <v>453</v>
      </c>
      <c r="B21" s="19">
        <v>12</v>
      </c>
    </row>
    <row r="22" spans="1:2" x14ac:dyDescent="0.25">
      <c r="A22" t="s">
        <v>454</v>
      </c>
      <c r="B22" s="19">
        <v>10</v>
      </c>
    </row>
    <row r="23" spans="1:2" x14ac:dyDescent="0.25">
      <c r="A23" t="s">
        <v>455</v>
      </c>
      <c r="B23" s="19">
        <v>13</v>
      </c>
    </row>
    <row r="24" spans="1:2" x14ac:dyDescent="0.25">
      <c r="A24" t="s">
        <v>456</v>
      </c>
      <c r="B24" s="19">
        <v>13</v>
      </c>
    </row>
    <row r="25" spans="1:2" x14ac:dyDescent="0.25">
      <c r="A25" t="s">
        <v>457</v>
      </c>
      <c r="B25" s="19">
        <v>11</v>
      </c>
    </row>
    <row r="26" spans="1:2" x14ac:dyDescent="0.25">
      <c r="A26" t="s">
        <v>458</v>
      </c>
      <c r="B26" s="19">
        <v>11</v>
      </c>
    </row>
    <row r="27" spans="1:2" x14ac:dyDescent="0.25">
      <c r="A27" t="s">
        <v>459</v>
      </c>
      <c r="B27" s="19">
        <v>10</v>
      </c>
    </row>
    <row r="28" spans="1:2" x14ac:dyDescent="0.25">
      <c r="A28" t="s">
        <v>460</v>
      </c>
      <c r="B28" s="19">
        <v>10</v>
      </c>
    </row>
    <row r="29" spans="1:2" x14ac:dyDescent="0.25">
      <c r="A29" t="s">
        <v>461</v>
      </c>
      <c r="B29" s="19">
        <v>5</v>
      </c>
    </row>
    <row r="30" spans="1:2" x14ac:dyDescent="0.25">
      <c r="A30" t="s">
        <v>462</v>
      </c>
      <c r="B30" s="19">
        <v>14</v>
      </c>
    </row>
    <row r="31" spans="1:2" x14ac:dyDescent="0.25">
      <c r="A31" t="s">
        <v>463</v>
      </c>
      <c r="B31" s="19">
        <v>11</v>
      </c>
    </row>
    <row r="32" spans="1:2" x14ac:dyDescent="0.25">
      <c r="A32" t="s">
        <v>464</v>
      </c>
      <c r="B32" s="19">
        <v>11</v>
      </c>
    </row>
    <row r="33" spans="1:2" x14ac:dyDescent="0.25">
      <c r="A33" t="s">
        <v>465</v>
      </c>
      <c r="B33" s="19">
        <v>13</v>
      </c>
    </row>
    <row r="34" spans="1:2" x14ac:dyDescent="0.25">
      <c r="A34" t="s">
        <v>466</v>
      </c>
      <c r="B34" s="19">
        <v>9</v>
      </c>
    </row>
    <row r="35" spans="1:2" x14ac:dyDescent="0.25">
      <c r="A35" t="s">
        <v>467</v>
      </c>
      <c r="B35" s="19">
        <v>9</v>
      </c>
    </row>
    <row r="36" spans="1:2" x14ac:dyDescent="0.25">
      <c r="A36" t="s">
        <v>468</v>
      </c>
      <c r="B36" s="19">
        <v>5</v>
      </c>
    </row>
    <row r="37" spans="1:2" x14ac:dyDescent="0.25">
      <c r="A37" t="s">
        <v>469</v>
      </c>
      <c r="B37" s="19">
        <v>8</v>
      </c>
    </row>
    <row r="38" spans="1:2" x14ac:dyDescent="0.25">
      <c r="A38" t="s">
        <v>470</v>
      </c>
      <c r="B38" s="19">
        <v>13</v>
      </c>
    </row>
    <row r="39" spans="1:2" x14ac:dyDescent="0.25">
      <c r="A39" t="s">
        <v>471</v>
      </c>
      <c r="B39" s="19">
        <v>8</v>
      </c>
    </row>
    <row r="40" spans="1:2" x14ac:dyDescent="0.25">
      <c r="A40" t="s">
        <v>472</v>
      </c>
      <c r="B40" s="19">
        <v>15</v>
      </c>
    </row>
    <row r="41" spans="1:2" x14ac:dyDescent="0.25">
      <c r="A41" t="s">
        <v>473</v>
      </c>
      <c r="B41" s="19">
        <v>15</v>
      </c>
    </row>
    <row r="42" spans="1:2" x14ac:dyDescent="0.25">
      <c r="A42" t="s">
        <v>474</v>
      </c>
      <c r="B42" s="19">
        <v>5</v>
      </c>
    </row>
    <row r="43" spans="1:2" x14ac:dyDescent="0.25">
      <c r="A43" t="s">
        <v>475</v>
      </c>
      <c r="B43" s="19">
        <v>5</v>
      </c>
    </row>
    <row r="44" spans="1:2" x14ac:dyDescent="0.25">
      <c r="A44" t="s">
        <v>476</v>
      </c>
      <c r="B44" s="19">
        <v>14</v>
      </c>
    </row>
    <row r="45" spans="1:2" x14ac:dyDescent="0.25">
      <c r="A45" t="s">
        <v>477</v>
      </c>
      <c r="B45" s="19">
        <v>9</v>
      </c>
    </row>
    <row r="46" spans="1:2" x14ac:dyDescent="0.25">
      <c r="A46" t="s">
        <v>478</v>
      </c>
      <c r="B46" s="19">
        <v>11</v>
      </c>
    </row>
    <row r="47" spans="1:2" x14ac:dyDescent="0.25">
      <c r="A47" t="s">
        <v>479</v>
      </c>
      <c r="B47" s="19">
        <v>15</v>
      </c>
    </row>
    <row r="48" spans="1:2" x14ac:dyDescent="0.25">
      <c r="A48" t="s">
        <v>480</v>
      </c>
      <c r="B48" s="19">
        <v>10</v>
      </c>
    </row>
    <row r="49" spans="1:2" x14ac:dyDescent="0.25">
      <c r="A49" t="s">
        <v>481</v>
      </c>
      <c r="B49" s="19">
        <v>9</v>
      </c>
    </row>
    <row r="50" spans="1:2" x14ac:dyDescent="0.25">
      <c r="A50" t="s">
        <v>482</v>
      </c>
      <c r="B50" s="19">
        <v>5</v>
      </c>
    </row>
    <row r="51" spans="1:2" x14ac:dyDescent="0.25">
      <c r="A51" t="s">
        <v>483</v>
      </c>
      <c r="B51" s="19">
        <v>12</v>
      </c>
    </row>
    <row r="52" spans="1:2" x14ac:dyDescent="0.25">
      <c r="A52" t="s">
        <v>484</v>
      </c>
      <c r="B52" s="19">
        <v>14</v>
      </c>
    </row>
    <row r="53" spans="1:2" x14ac:dyDescent="0.25">
      <c r="A53" t="s">
        <v>485</v>
      </c>
      <c r="B53" s="19">
        <v>9</v>
      </c>
    </row>
    <row r="54" spans="1:2" x14ac:dyDescent="0.25">
      <c r="A54" t="s">
        <v>427</v>
      </c>
      <c r="B54" s="19">
        <v>513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B1B5B-BA46-4796-BEE1-0214AD17E20D}">
  <sheetPr codeName="Sheet1"/>
  <dimension ref="A1:S515"/>
  <sheetViews>
    <sheetView topLeftCell="C18" workbookViewId="0">
      <selection activeCell="K39" sqref="K39"/>
    </sheetView>
  </sheetViews>
  <sheetFormatPr defaultRowHeight="15" x14ac:dyDescent="0.25"/>
  <cols>
    <col min="1" max="1" width="42.42578125" customWidth="1"/>
    <col min="2" max="2" width="53.5703125" customWidth="1"/>
    <col min="3" max="3" width="12.28515625" customWidth="1"/>
    <col min="7" max="7" width="14.85546875" customWidth="1"/>
    <col min="8" max="8" width="17" customWidth="1"/>
    <col min="9" max="9" width="18" customWidth="1"/>
    <col min="10" max="13" width="14.85546875" customWidth="1"/>
    <col min="14" max="14" width="18.28515625" customWidth="1"/>
    <col min="15" max="15" width="14.85546875" customWidth="1"/>
    <col min="16" max="16" width="22" customWidth="1"/>
    <col min="17" max="17" width="14.85546875" customWidth="1"/>
    <col min="18" max="18" width="19.42578125" customWidth="1"/>
    <col min="19" max="19" width="28.5703125" customWidth="1"/>
  </cols>
  <sheetData>
    <row r="1" spans="1:19" x14ac:dyDescent="0.25">
      <c r="C1" t="s">
        <v>258</v>
      </c>
      <c r="R1" t="s">
        <v>436</v>
      </c>
      <c r="S1" s="19">
        <v>13</v>
      </c>
    </row>
    <row r="2" spans="1:19" x14ac:dyDescent="0.25">
      <c r="A2" t="str" cm="1">
        <f t="array" ref="A2:A398">_xlfn._xlws.SORT(_xlfn.UNIQUE(datatable[[Name ]]))</f>
        <v>Ahmet Arslan</v>
      </c>
      <c r="B2" s="2">
        <f>_xlfn.XLOOKUP(A2,datatable[[Name ]],datatable[Salary $ (Yearly)])</f>
        <v>244910</v>
      </c>
      <c r="R2" t="s">
        <v>437</v>
      </c>
      <c r="S2" s="19">
        <v>5</v>
      </c>
    </row>
    <row r="3" spans="1:19" ht="15.75" thickBot="1" x14ac:dyDescent="0.3">
      <c r="A3" t="str">
        <v>Ahmet Yılmaz</v>
      </c>
      <c r="B3" s="2">
        <f>_xlfn.XLOOKUP(A3,datatable[[Name ]],datatable[Salary $ (Yearly)])</f>
        <v>315486</v>
      </c>
      <c r="R3" t="s">
        <v>438</v>
      </c>
      <c r="S3" s="19">
        <v>10</v>
      </c>
    </row>
    <row r="4" spans="1:19" ht="15.75" thickBot="1" x14ac:dyDescent="0.3">
      <c r="A4" t="str">
        <v>Alberto Bianchi</v>
      </c>
      <c r="B4" s="2">
        <f>_xlfn.XLOOKUP(A4,datatable[[Name ]],datatable[Salary $ (Yearly)])</f>
        <v>128048</v>
      </c>
      <c r="G4" s="12" t="s">
        <v>5</v>
      </c>
      <c r="H4" s="13" t="s">
        <v>28</v>
      </c>
      <c r="I4" s="13" t="s">
        <v>7</v>
      </c>
      <c r="J4" s="13" t="s">
        <v>0</v>
      </c>
      <c r="K4" s="14" t="s">
        <v>23</v>
      </c>
      <c r="L4" s="13" t="s">
        <v>22</v>
      </c>
      <c r="M4" s="13" t="s">
        <v>25</v>
      </c>
      <c r="N4" s="13" t="s">
        <v>24</v>
      </c>
      <c r="O4" s="13" t="s">
        <v>6</v>
      </c>
      <c r="P4" s="13" t="s">
        <v>26</v>
      </c>
      <c r="Q4" s="12" t="s">
        <v>27</v>
      </c>
      <c r="R4" t="s">
        <v>439</v>
      </c>
      <c r="S4" s="19">
        <v>5</v>
      </c>
    </row>
    <row r="5" spans="1:19" x14ac:dyDescent="0.25">
      <c r="A5" t="str">
        <v>Alberto Conti</v>
      </c>
      <c r="B5" s="2">
        <f>_xlfn.XLOOKUP(A5,datatable[[Name ]],datatable[Salary $ (Yearly)])</f>
        <v>271691</v>
      </c>
      <c r="R5" t="s">
        <v>440</v>
      </c>
      <c r="S5" s="19">
        <v>13</v>
      </c>
    </row>
    <row r="6" spans="1:19" x14ac:dyDescent="0.25">
      <c r="A6" t="str">
        <v>Alberto Ferreira</v>
      </c>
      <c r="B6" s="2">
        <f>_xlfn.XLOOKUP(A6,datatable[[Name ]],datatable[Salary $ (Yearly)])</f>
        <v>74981</v>
      </c>
      <c r="G6" s="4">
        <f>_xlfn.XLOOKUP(C1,datatable[[Name ]],datatable[Employee ID])</f>
        <v>1019</v>
      </c>
      <c r="I6" t="str">
        <f>_xlfn.XLOOKUP(C1,datatable[[Name ]],datatable[Rank])</f>
        <v>Principal</v>
      </c>
      <c r="J6" s="4" t="str">
        <f>_xlfn.XLOOKUP(C1,datatable[[Name ]],datatable[Department])</f>
        <v>HR</v>
      </c>
      <c r="K6" s="6">
        <f>_xlfn.XLOOKUP(C1,datatable[[Name ]],datatable[WFH % in 2020])</f>
        <v>0.83</v>
      </c>
      <c r="L6" s="4">
        <f>_xlfn.XLOOKUP(C1,datatable[[Name ]],datatable[Number of kids])</f>
        <v>3</v>
      </c>
      <c r="M6" s="2">
        <f>_xlfn.XLOOKUP(C1,datatable[[Name ]],datatable[Salary $ (Yearly)])</f>
        <v>271166</v>
      </c>
      <c r="N6" s="4" t="str">
        <f>_xlfn.XLOOKUP(C1,datatable[[Name ]],datatable[Received Bonus in 2020?])</f>
        <v>No</v>
      </c>
      <c r="O6" s="4" t="str">
        <f>_xlfn.XLOOKUP(C1,datatable[[Name ]],datatable[Satisfied from job])</f>
        <v>No</v>
      </c>
      <c r="P6" s="5">
        <f>_xlfn.XLOOKUP(C1,datatable[[Name ]],datatable[Employment Start Date])</f>
        <v>43873</v>
      </c>
      <c r="Q6" s="3">
        <f ca="1">_xlfn.XLOOKUP(C1,datatable[[Name ]],datatable[Years in Company])</f>
        <v>4.2555555555555555</v>
      </c>
      <c r="R6" t="s">
        <v>441</v>
      </c>
      <c r="S6" s="19">
        <v>14</v>
      </c>
    </row>
    <row r="7" spans="1:19" x14ac:dyDescent="0.25">
      <c r="A7" t="str">
        <v>Alessandro Conti</v>
      </c>
      <c r="B7" s="2">
        <f>_xlfn.XLOOKUP(A7,datatable[[Name ]],datatable[Salary $ (Yearly)])</f>
        <v>95404</v>
      </c>
      <c r="R7" t="s">
        <v>442</v>
      </c>
      <c r="S7" s="19">
        <v>14</v>
      </c>
    </row>
    <row r="8" spans="1:19" x14ac:dyDescent="0.25">
      <c r="A8" t="str">
        <v>Alessandro Costa</v>
      </c>
      <c r="B8" s="2">
        <f>_xlfn.XLOOKUP(A8,datatable[[Name ]],datatable[Salary $ (Yearly)])</f>
        <v>139230</v>
      </c>
      <c r="R8" t="s">
        <v>443</v>
      </c>
      <c r="S8" s="19">
        <v>5</v>
      </c>
    </row>
    <row r="9" spans="1:19" x14ac:dyDescent="0.25">
      <c r="A9" t="str">
        <v>Alessandro Ferrari</v>
      </c>
      <c r="B9" s="2">
        <f>_xlfn.XLOOKUP(A9,datatable[[Name ]],datatable[Salary $ (Yearly)])</f>
        <v>264108</v>
      </c>
      <c r="R9" t="s">
        <v>444</v>
      </c>
      <c r="S9" s="19">
        <v>13</v>
      </c>
    </row>
    <row r="10" spans="1:19" x14ac:dyDescent="0.25">
      <c r="A10" t="str">
        <v>Alessandro Ferreira</v>
      </c>
      <c r="B10" s="2">
        <f>_xlfn.XLOOKUP(A10,datatable[[Name ]],datatable[Salary $ (Yearly)])</f>
        <v>241447</v>
      </c>
      <c r="R10" t="s">
        <v>445</v>
      </c>
      <c r="S10" s="19">
        <v>11</v>
      </c>
    </row>
    <row r="11" spans="1:19" x14ac:dyDescent="0.25">
      <c r="A11" t="str">
        <v>Alessandro Gruber</v>
      </c>
      <c r="B11" s="2">
        <f>_xlfn.XLOOKUP(A11,datatable[[Name ]],datatable[Salary $ (Yearly)])</f>
        <v>248259</v>
      </c>
      <c r="R11" t="s">
        <v>446</v>
      </c>
      <c r="S11" s="19">
        <v>5</v>
      </c>
    </row>
    <row r="12" spans="1:19" x14ac:dyDescent="0.25">
      <c r="A12" t="str">
        <v>Alessandro Marchetti</v>
      </c>
      <c r="B12" s="2">
        <f>_xlfn.XLOOKUP(A12,datatable[[Name ]],datatable[Salary $ (Yearly)])</f>
        <v>77719</v>
      </c>
      <c r="R12" t="s">
        <v>447</v>
      </c>
      <c r="S12" s="19">
        <v>10</v>
      </c>
    </row>
    <row r="13" spans="1:19" x14ac:dyDescent="0.25">
      <c r="A13" t="str">
        <v>Alessandro Rizzo</v>
      </c>
      <c r="B13" s="2">
        <f>_xlfn.XLOOKUP(A13,datatable[[Name ]],datatable[Salary $ (Yearly)])</f>
        <v>224857</v>
      </c>
      <c r="R13" t="s">
        <v>448</v>
      </c>
      <c r="S13" s="19">
        <v>8</v>
      </c>
    </row>
    <row r="14" spans="1:19" x14ac:dyDescent="0.25">
      <c r="A14" t="str">
        <v>Alessandro Romano</v>
      </c>
      <c r="B14" s="2">
        <f>_xlfn.XLOOKUP(A14,datatable[[Name ]],datatable[Salary $ (Yearly)])</f>
        <v>250125</v>
      </c>
      <c r="R14" t="s">
        <v>449</v>
      </c>
      <c r="S14" s="19">
        <v>13</v>
      </c>
    </row>
    <row r="15" spans="1:19" x14ac:dyDescent="0.25">
      <c r="A15" t="str">
        <v>Alessandro Rossi</v>
      </c>
      <c r="B15" s="2">
        <f>_xlfn.XLOOKUP(A15,datatable[[Name ]],datatable[Salary $ (Yearly)])</f>
        <v>254582</v>
      </c>
      <c r="R15" t="s">
        <v>450</v>
      </c>
      <c r="S15" s="19">
        <v>7</v>
      </c>
    </row>
    <row r="16" spans="1:19" x14ac:dyDescent="0.25">
      <c r="A16" t="str">
        <v>Alessia Cetin</v>
      </c>
      <c r="B16" s="2">
        <f>_xlfn.XLOOKUP(A16,datatable[[Name ]],datatable[Salary $ (Yearly)])</f>
        <v>206930</v>
      </c>
      <c r="F16" s="15">
        <f>K6</f>
        <v>0.83</v>
      </c>
      <c r="G16" s="15">
        <v>1</v>
      </c>
      <c r="H16" s="15">
        <f>G16-F16</f>
        <v>0.17000000000000004</v>
      </c>
      <c r="L16" s="24"/>
      <c r="R16" t="s">
        <v>451</v>
      </c>
      <c r="S16" s="19">
        <v>11</v>
      </c>
    </row>
    <row r="17" spans="1:19" x14ac:dyDescent="0.25">
      <c r="A17" t="str">
        <v>Alessia Ricci</v>
      </c>
      <c r="B17" s="2">
        <f>_xlfn.XLOOKUP(A17,datatable[[Name ]],datatable[Salary $ (Yearly)])</f>
        <v>233202</v>
      </c>
      <c r="I17" s="15"/>
      <c r="R17" t="s">
        <v>452</v>
      </c>
      <c r="S17" s="19">
        <v>12</v>
      </c>
    </row>
    <row r="18" spans="1:19" x14ac:dyDescent="0.25">
      <c r="A18" t="str">
        <v>Alessio De Luca</v>
      </c>
      <c r="B18" s="2">
        <f>_xlfn.XLOOKUP(A18,datatable[[Name ]],datatable[Salary $ (Yearly)])</f>
        <v>255296</v>
      </c>
      <c r="R18" t="s">
        <v>453</v>
      </c>
      <c r="S18" s="19">
        <v>12</v>
      </c>
    </row>
    <row r="19" spans="1:19" ht="15" customHeight="1" x14ac:dyDescent="0.25">
      <c r="A19" t="str">
        <v>Alexander Müller</v>
      </c>
      <c r="B19" s="2">
        <f>_xlfn.XLOOKUP(A19,datatable[[Name ]],datatable[Salary $ (Yearly)])</f>
        <v>253259</v>
      </c>
      <c r="H19" s="25" t="s">
        <v>486</v>
      </c>
      <c r="I19" s="25"/>
      <c r="J19" s="25"/>
      <c r="R19" t="s">
        <v>454</v>
      </c>
      <c r="S19" s="19">
        <v>10</v>
      </c>
    </row>
    <row r="20" spans="1:19" ht="15" customHeight="1" x14ac:dyDescent="0.25">
      <c r="A20" t="str">
        <v>Alexandra Müller</v>
      </c>
      <c r="B20" s="2">
        <f>_xlfn.XLOOKUP(A20,datatable[[Name ]],datatable[Salary $ (Yearly)])</f>
        <v>105965</v>
      </c>
      <c r="G20" s="10"/>
      <c r="H20" s="26"/>
      <c r="I20" s="26"/>
      <c r="J20" s="26"/>
      <c r="R20" t="s">
        <v>455</v>
      </c>
      <c r="S20" s="19">
        <v>13</v>
      </c>
    </row>
    <row r="21" spans="1:19" x14ac:dyDescent="0.25">
      <c r="A21" t="str">
        <v>Alexey Ivanov</v>
      </c>
      <c r="B21" s="2">
        <f>_xlfn.XLOOKUP(A21,datatable[[Name ]],datatable[Salary $ (Yearly)])</f>
        <v>142241</v>
      </c>
      <c r="H21" s="20" t="s">
        <v>434</v>
      </c>
      <c r="I21" s="20" t="s">
        <v>432</v>
      </c>
      <c r="J21" s="20" t="s">
        <v>433</v>
      </c>
      <c r="R21" t="s">
        <v>456</v>
      </c>
      <c r="S21" s="19">
        <v>13</v>
      </c>
    </row>
    <row r="22" spans="1:19" x14ac:dyDescent="0.25">
      <c r="A22" t="str">
        <v>Ali Kaya</v>
      </c>
      <c r="B22" s="2">
        <f>_xlfn.XLOOKUP(A22,datatable[[Name ]],datatable[Salary $ (Yearly)])</f>
        <v>233661</v>
      </c>
      <c r="H22" s="22">
        <v>16</v>
      </c>
      <c r="I22" s="22" t="s">
        <v>44</v>
      </c>
      <c r="J22" s="23">
        <v>299936</v>
      </c>
      <c r="R22" t="s">
        <v>457</v>
      </c>
      <c r="S22" s="19">
        <v>11</v>
      </c>
    </row>
    <row r="23" spans="1:19" x14ac:dyDescent="0.25">
      <c r="A23" t="str">
        <v>Ali Yıldız</v>
      </c>
      <c r="B23" s="2">
        <f>_xlfn.XLOOKUP(A23,datatable[[Name ]],datatable[Salary $ (Yearly)])</f>
        <v>208889</v>
      </c>
      <c r="H23" s="20">
        <v>26</v>
      </c>
      <c r="I23" s="20" t="s">
        <v>54</v>
      </c>
      <c r="J23" s="21">
        <v>295104</v>
      </c>
      <c r="R23" t="s">
        <v>458</v>
      </c>
      <c r="S23" s="19">
        <v>11</v>
      </c>
    </row>
    <row r="24" spans="1:19" x14ac:dyDescent="0.25">
      <c r="A24" t="str">
        <v>Ali Yılmaz</v>
      </c>
      <c r="B24" s="2">
        <f>_xlfn.XLOOKUP(A24,datatable[[Name ]],datatable[Salary $ (Yearly)])</f>
        <v>230516</v>
      </c>
      <c r="H24" s="22">
        <v>27</v>
      </c>
      <c r="I24" s="22" t="s">
        <v>55</v>
      </c>
      <c r="J24" s="23">
        <v>328128</v>
      </c>
      <c r="R24" t="s">
        <v>459</v>
      </c>
      <c r="S24" s="19">
        <v>10</v>
      </c>
    </row>
    <row r="25" spans="1:19" x14ac:dyDescent="0.25">
      <c r="A25" t="str">
        <v>Alicia García</v>
      </c>
      <c r="B25" s="2">
        <f>_xlfn.XLOOKUP(A25,datatable[[Name ]],datatable[Salary $ (Yearly)])</f>
        <v>201331</v>
      </c>
      <c r="H25" s="20">
        <v>41</v>
      </c>
      <c r="I25" s="20" t="s">
        <v>69</v>
      </c>
      <c r="J25" s="21">
        <v>296997</v>
      </c>
      <c r="R25" t="s">
        <v>460</v>
      </c>
      <c r="S25" s="19">
        <v>10</v>
      </c>
    </row>
    <row r="26" spans="1:19" x14ac:dyDescent="0.25">
      <c r="A26" t="str">
        <v>Alina Ivanova</v>
      </c>
      <c r="B26" s="2">
        <f>_xlfn.XLOOKUP(A26,datatable[[Name ]],datatable[Salary $ (Yearly)])</f>
        <v>241734</v>
      </c>
      <c r="H26" s="22">
        <v>46</v>
      </c>
      <c r="I26" s="22" t="s">
        <v>74</v>
      </c>
      <c r="J26" s="23">
        <v>320142</v>
      </c>
      <c r="R26" t="s">
        <v>461</v>
      </c>
      <c r="S26" s="19">
        <v>5</v>
      </c>
    </row>
    <row r="27" spans="1:19" x14ac:dyDescent="0.25">
      <c r="A27" t="str">
        <v>Alisa Ivanova</v>
      </c>
      <c r="B27" s="2">
        <f>_xlfn.XLOOKUP(A27,datatable[[Name ]],datatable[Salary $ (Yearly)])</f>
        <v>208644</v>
      </c>
      <c r="H27" s="20">
        <v>61</v>
      </c>
      <c r="I27" s="20" t="s">
        <v>89</v>
      </c>
      <c r="J27" s="21">
        <v>293469</v>
      </c>
      <c r="R27" t="s">
        <v>462</v>
      </c>
      <c r="S27" s="19">
        <v>14</v>
      </c>
    </row>
    <row r="28" spans="1:19" x14ac:dyDescent="0.25">
      <c r="A28" t="str">
        <v>Alparslan Kaya</v>
      </c>
      <c r="B28" s="2">
        <f>_xlfn.XLOOKUP(A28,datatable[[Name ]],datatable[Salary $ (Yearly)])</f>
        <v>128141</v>
      </c>
      <c r="H28" s="22">
        <v>68</v>
      </c>
      <c r="I28" s="22" t="s">
        <v>96</v>
      </c>
      <c r="J28" s="23">
        <v>298152</v>
      </c>
      <c r="R28" t="s">
        <v>463</v>
      </c>
      <c r="S28" s="19">
        <v>11</v>
      </c>
    </row>
    <row r="29" spans="1:19" x14ac:dyDescent="0.25">
      <c r="A29" t="str">
        <v>Alper Aydın</v>
      </c>
      <c r="B29" s="2">
        <f>_xlfn.XLOOKUP(A29,datatable[[Name ]],datatable[Salary $ (Yearly)])</f>
        <v>263888</v>
      </c>
      <c r="H29" s="20">
        <v>71</v>
      </c>
      <c r="I29" s="20" t="s">
        <v>99</v>
      </c>
      <c r="J29" s="21">
        <v>315486</v>
      </c>
      <c r="R29" t="s">
        <v>464</v>
      </c>
      <c r="S29" s="19">
        <v>11</v>
      </c>
    </row>
    <row r="30" spans="1:19" x14ac:dyDescent="0.25">
      <c r="A30" t="str">
        <v>Anastasia Ivanova</v>
      </c>
      <c r="B30" s="2">
        <f>_xlfn.XLOOKUP(A30,datatable[[Name ]],datatable[Salary $ (Yearly)])</f>
        <v>67999</v>
      </c>
      <c r="H30" s="22">
        <v>89</v>
      </c>
      <c r="I30" s="22" t="s">
        <v>115</v>
      </c>
      <c r="J30" s="23">
        <v>325389</v>
      </c>
      <c r="R30" t="s">
        <v>465</v>
      </c>
      <c r="S30" s="19">
        <v>13</v>
      </c>
    </row>
    <row r="31" spans="1:19" x14ac:dyDescent="0.25">
      <c r="A31" t="str">
        <v>Anastasia Petrova</v>
      </c>
      <c r="B31" s="2">
        <f>_xlfn.XLOOKUP(A31,datatable[[Name ]],datatable[Salary $ (Yearly)])</f>
        <v>207562</v>
      </c>
      <c r="H31" s="20">
        <v>97</v>
      </c>
      <c r="I31" s="20" t="s">
        <v>122</v>
      </c>
      <c r="J31" s="21">
        <v>350000</v>
      </c>
      <c r="R31" t="s">
        <v>466</v>
      </c>
      <c r="S31" s="19">
        <v>9</v>
      </c>
    </row>
    <row r="32" spans="1:19" x14ac:dyDescent="0.25">
      <c r="A32" t="str">
        <v>Anastasiya Ivanova</v>
      </c>
      <c r="B32" s="2">
        <f>_xlfn.XLOOKUP(A32,datatable[[Name ]],datatable[Salary $ (Yearly)])</f>
        <v>190913</v>
      </c>
      <c r="R32" t="s">
        <v>467</v>
      </c>
      <c r="S32" s="19">
        <v>9</v>
      </c>
    </row>
    <row r="33" spans="1:19" x14ac:dyDescent="0.25">
      <c r="A33" t="str">
        <v>Andrea Conti</v>
      </c>
      <c r="B33" s="2">
        <f>_xlfn.XLOOKUP(A33,datatable[[Name ]],datatable[Salary $ (Yearly)])</f>
        <v>107454</v>
      </c>
      <c r="R33" t="s">
        <v>468</v>
      </c>
      <c r="S33" s="19">
        <v>5</v>
      </c>
    </row>
    <row r="34" spans="1:19" x14ac:dyDescent="0.25">
      <c r="A34" t="str">
        <v>Andrea Rizzo</v>
      </c>
      <c r="B34" s="2">
        <f>_xlfn.XLOOKUP(A34,datatable[[Name ]],datatable[Salary $ (Yearly)])</f>
        <v>234292</v>
      </c>
      <c r="R34" t="s">
        <v>469</v>
      </c>
      <c r="S34" s="19">
        <v>8</v>
      </c>
    </row>
    <row r="35" spans="1:19" x14ac:dyDescent="0.25">
      <c r="A35" t="str">
        <v>Andrea Rossi</v>
      </c>
      <c r="B35" s="2">
        <f>_xlfn.XLOOKUP(A35,datatable[[Name ]],datatable[Salary $ (Yearly)])</f>
        <v>132906</v>
      </c>
      <c r="R35" t="s">
        <v>470</v>
      </c>
      <c r="S35" s="19">
        <v>13</v>
      </c>
    </row>
    <row r="36" spans="1:19" x14ac:dyDescent="0.25">
      <c r="A36" t="str">
        <v>Andrea Sánchez</v>
      </c>
      <c r="B36" s="2">
        <f>_xlfn.XLOOKUP(A36,datatable[[Name ]],datatable[Salary $ (Yearly)])</f>
        <v>272467</v>
      </c>
      <c r="R36" t="s">
        <v>471</v>
      </c>
      <c r="S36" s="19">
        <v>8</v>
      </c>
    </row>
    <row r="37" spans="1:19" x14ac:dyDescent="0.25">
      <c r="A37" t="str">
        <v>Andreas Fischer</v>
      </c>
      <c r="B37" s="2">
        <f>_xlfn.XLOOKUP(A37,datatable[[Name ]],datatable[Salary $ (Yearly)])</f>
        <v>113429</v>
      </c>
      <c r="R37" t="s">
        <v>472</v>
      </c>
      <c r="S37" s="19">
        <v>15</v>
      </c>
    </row>
    <row r="38" spans="1:19" x14ac:dyDescent="0.25">
      <c r="A38" t="str">
        <v>Andreas Müller</v>
      </c>
      <c r="B38" s="2">
        <f>_xlfn.XLOOKUP(A38,datatable[[Name ]],datatable[Salary $ (Yearly)])</f>
        <v>111587</v>
      </c>
      <c r="R38" t="s">
        <v>473</v>
      </c>
      <c r="S38" s="19">
        <v>15</v>
      </c>
    </row>
    <row r="39" spans="1:19" x14ac:dyDescent="0.25">
      <c r="A39" t="str">
        <v>Andrei Petrov</v>
      </c>
      <c r="B39" s="2">
        <f>_xlfn.XLOOKUP(A39,datatable[[Name ]],datatable[Salary $ (Yearly)])</f>
        <v>252253</v>
      </c>
      <c r="H39">
        <f>COUNT(datatable[Employee ID])</f>
        <v>513</v>
      </c>
      <c r="I39" t="str" cm="1">
        <f t="array" ref="I39:I46">_xlfn.UNIQUE(datatable[Rank])</f>
        <v>Senior</v>
      </c>
      <c r="K39" t="str" cm="1">
        <f t="array" ref="K39:K47">_xlfn.UNIQUE(datatable[Department])</f>
        <v>Sales &amp; Marketing</v>
      </c>
      <c r="R39" t="s">
        <v>474</v>
      </c>
      <c r="S39" s="19">
        <v>5</v>
      </c>
    </row>
    <row r="40" spans="1:19" x14ac:dyDescent="0.25">
      <c r="A40" t="str">
        <v>Andrey Petrov</v>
      </c>
      <c r="B40" s="2">
        <f>_xlfn.XLOOKUP(A40,datatable[[Name ]],datatable[Salary $ (Yearly)])</f>
        <v>285584</v>
      </c>
      <c r="I40" t="str">
        <v>Senior Manager</v>
      </c>
      <c r="K40" t="str">
        <v>Research &amp; Development</v>
      </c>
      <c r="R40" t="s">
        <v>475</v>
      </c>
      <c r="S40" s="19">
        <v>5</v>
      </c>
    </row>
    <row r="41" spans="1:19" x14ac:dyDescent="0.25">
      <c r="A41" t="str">
        <v>Anna Novikova</v>
      </c>
      <c r="B41" s="2">
        <f>_xlfn.XLOOKUP(A41,datatable[[Name ]],datatable[Salary $ (Yearly)])</f>
        <v>139018</v>
      </c>
      <c r="I41" t="str">
        <v>Principal</v>
      </c>
      <c r="K41" t="str">
        <v>QA</v>
      </c>
      <c r="R41" t="s">
        <v>476</v>
      </c>
      <c r="S41" s="19">
        <v>14</v>
      </c>
    </row>
    <row r="42" spans="1:19" x14ac:dyDescent="0.25">
      <c r="A42" t="str">
        <v>Anna Schmidt</v>
      </c>
      <c r="B42" s="2">
        <f>_xlfn.XLOOKUP(A42,datatable[[Name ]],datatable[Salary $ (Yearly)])</f>
        <v>207309</v>
      </c>
      <c r="I42" t="str">
        <v>Director</v>
      </c>
      <c r="K42" t="str">
        <v>Manufacturing</v>
      </c>
      <c r="R42" t="s">
        <v>477</v>
      </c>
      <c r="S42" s="19">
        <v>9</v>
      </c>
    </row>
    <row r="43" spans="1:19" x14ac:dyDescent="0.25">
      <c r="A43" t="str">
        <v>Anna Smirnova</v>
      </c>
      <c r="B43" s="2">
        <f>_xlfn.XLOOKUP(A43,datatable[[Name ]],datatable[Salary $ (Yearly)])</f>
        <v>142420</v>
      </c>
      <c r="I43" t="str">
        <v>Junior</v>
      </c>
      <c r="K43" t="str">
        <v>Finance</v>
      </c>
      <c r="R43" t="s">
        <v>478</v>
      </c>
      <c r="S43" s="19">
        <v>11</v>
      </c>
    </row>
    <row r="44" spans="1:19" x14ac:dyDescent="0.25">
      <c r="A44" t="str">
        <v>Anton Volkov</v>
      </c>
      <c r="B44" s="2">
        <f>_xlfn.XLOOKUP(A44,datatable[[Name ]],datatable[Salary $ (Yearly)])</f>
        <v>248615</v>
      </c>
      <c r="I44" t="str">
        <v>Manager</v>
      </c>
      <c r="K44" t="str">
        <v>HR</v>
      </c>
      <c r="R44" t="s">
        <v>479</v>
      </c>
      <c r="S44" s="19">
        <v>15</v>
      </c>
    </row>
    <row r="45" spans="1:19" x14ac:dyDescent="0.25">
      <c r="A45" t="str">
        <v>Antonio Bernardi</v>
      </c>
      <c r="B45" s="2">
        <f>_xlfn.XLOOKUP(A45,datatable[[Name ]],datatable[Salary $ (Yearly)])</f>
        <v>226896</v>
      </c>
      <c r="I45" t="str">
        <v>VP</v>
      </c>
      <c r="K45" t="str">
        <v>IT</v>
      </c>
      <c r="R45" t="s">
        <v>480</v>
      </c>
      <c r="S45" s="19">
        <v>10</v>
      </c>
    </row>
    <row r="46" spans="1:19" x14ac:dyDescent="0.25">
      <c r="A46" t="str">
        <v>Antonio Esposito</v>
      </c>
      <c r="B46" s="2">
        <f>_xlfn.XLOOKUP(A46,datatable[[Name ]],datatable[Salary $ (Yearly)])</f>
        <v>186717</v>
      </c>
      <c r="I46" t="str">
        <v>CEO</v>
      </c>
      <c r="K46" t="str">
        <v>Legal</v>
      </c>
      <c r="R46" t="s">
        <v>481</v>
      </c>
      <c r="S46" s="19">
        <v>9</v>
      </c>
    </row>
    <row r="47" spans="1:19" x14ac:dyDescent="0.25">
      <c r="A47" t="str">
        <v>Antonio Ferreira</v>
      </c>
      <c r="B47" s="2">
        <f>_xlfn.XLOOKUP(A47,datatable[[Name ]],datatable[Salary $ (Yearly)])</f>
        <v>197384</v>
      </c>
      <c r="K47" t="str">
        <v>CEO</v>
      </c>
      <c r="R47" t="s">
        <v>482</v>
      </c>
      <c r="S47" s="19">
        <v>5</v>
      </c>
    </row>
    <row r="48" spans="1:19" x14ac:dyDescent="0.25">
      <c r="A48" t="str">
        <v>Antonio Vitale</v>
      </c>
      <c r="B48" s="2">
        <f>_xlfn.XLOOKUP(A48,datatable[[Name ]],datatable[Salary $ (Yearly)])</f>
        <v>69932</v>
      </c>
      <c r="R48" t="s">
        <v>483</v>
      </c>
      <c r="S48" s="19">
        <v>12</v>
      </c>
    </row>
    <row r="49" spans="1:19" x14ac:dyDescent="0.25">
      <c r="A49" t="str">
        <v>Antonov Petrov</v>
      </c>
      <c r="B49" s="2">
        <f>_xlfn.XLOOKUP(A49,datatable[[Name ]],datatable[Salary $ (Yearly)])</f>
        <v>92725</v>
      </c>
      <c r="R49" t="s">
        <v>484</v>
      </c>
      <c r="S49" s="19">
        <v>14</v>
      </c>
    </row>
    <row r="50" spans="1:19" x14ac:dyDescent="0.25">
      <c r="A50" t="str">
        <v>Aslı Kaya</v>
      </c>
      <c r="B50" s="2">
        <f>_xlfn.XLOOKUP(A50,datatable[[Name ]],datatable[Salary $ (Yearly)])</f>
        <v>144804</v>
      </c>
      <c r="R50" t="s">
        <v>485</v>
      </c>
      <c r="S50" s="19">
        <v>9</v>
      </c>
    </row>
    <row r="51" spans="1:19" x14ac:dyDescent="0.25">
      <c r="A51" t="str">
        <v>Aslı Yılmaz</v>
      </c>
      <c r="B51" s="2">
        <f>_xlfn.XLOOKUP(A51,datatable[[Name ]],datatable[Salary $ (Yearly)])</f>
        <v>239386</v>
      </c>
      <c r="R51" s="4"/>
      <c r="S51" s="4"/>
    </row>
    <row r="52" spans="1:19" x14ac:dyDescent="0.25">
      <c r="A52" t="str">
        <v>Aybike Yıldırım</v>
      </c>
      <c r="B52" s="2">
        <f>_xlfn.XLOOKUP(A52,datatable[[Name ]],datatable[Salary $ (Yearly)])</f>
        <v>250141</v>
      </c>
      <c r="R52" s="4"/>
      <c r="S52" s="4"/>
    </row>
    <row r="53" spans="1:19" x14ac:dyDescent="0.25">
      <c r="A53" t="str">
        <v>Ayça Şahin</v>
      </c>
      <c r="B53" s="2">
        <f>_xlfn.XLOOKUP(A53,datatable[[Name ]],datatable[Salary $ (Yearly)])</f>
        <v>107014</v>
      </c>
      <c r="R53" s="4"/>
      <c r="S53" s="4"/>
    </row>
    <row r="54" spans="1:19" x14ac:dyDescent="0.25">
      <c r="A54" t="str">
        <v>Aylin Yıldırım</v>
      </c>
      <c r="B54" s="2">
        <f>_xlfn.XLOOKUP(A54,datatable[[Name ]],datatable[Salary $ (Yearly)])</f>
        <v>104031</v>
      </c>
      <c r="R54" s="4"/>
      <c r="S54" s="4"/>
    </row>
    <row r="55" spans="1:19" x14ac:dyDescent="0.25">
      <c r="A55" t="str">
        <v>Aylin Yıldız</v>
      </c>
      <c r="B55" s="2">
        <f>_xlfn.XLOOKUP(A55,datatable[[Name ]],datatable[Salary $ (Yearly)])</f>
        <v>189789</v>
      </c>
      <c r="R55" s="4"/>
      <c r="S55" s="4"/>
    </row>
    <row r="56" spans="1:19" x14ac:dyDescent="0.25">
      <c r="A56" t="str">
        <v>Aylin Yılmaz</v>
      </c>
      <c r="B56" s="2">
        <f>_xlfn.XLOOKUP(A56,datatable[[Name ]],datatable[Salary $ (Yearly)])</f>
        <v>75321</v>
      </c>
      <c r="R56" s="4"/>
      <c r="S56" s="4"/>
    </row>
    <row r="57" spans="1:19" x14ac:dyDescent="0.25">
      <c r="A57" t="str">
        <v>Ayşe Kaya</v>
      </c>
      <c r="B57" s="2">
        <f>_xlfn.XLOOKUP(A57,datatable[[Name ]],datatable[Salary $ (Yearly)])</f>
        <v>84597</v>
      </c>
      <c r="R57" s="4"/>
      <c r="S57" s="4"/>
    </row>
    <row r="58" spans="1:19" x14ac:dyDescent="0.25">
      <c r="A58" t="str">
        <v>Ayşe Yıldırım</v>
      </c>
      <c r="B58" s="2">
        <f>_xlfn.XLOOKUP(A58,datatable[[Name ]],datatable[Salary $ (Yearly)])</f>
        <v>139901</v>
      </c>
      <c r="R58" s="4"/>
      <c r="S58" s="4"/>
    </row>
    <row r="59" spans="1:19" x14ac:dyDescent="0.25">
      <c r="A59" t="str">
        <v>Ayşe Yılmaz</v>
      </c>
      <c r="B59" s="2">
        <f>_xlfn.XLOOKUP(A59,datatable[[Name ]],datatable[Salary $ (Yearly)])</f>
        <v>287793</v>
      </c>
      <c r="R59" s="4"/>
      <c r="S59" s="4"/>
    </row>
    <row r="60" spans="1:19" x14ac:dyDescent="0.25">
      <c r="A60" t="str">
        <v>Ayşegül Yıldırım</v>
      </c>
      <c r="B60" s="2">
        <f>_xlfn.XLOOKUP(A60,datatable[[Name ]],datatable[Salary $ (Yearly)])</f>
        <v>191223</v>
      </c>
      <c r="R60" s="4"/>
      <c r="S60" s="4"/>
    </row>
    <row r="61" spans="1:19" x14ac:dyDescent="0.25">
      <c r="A61" t="str">
        <v>Aysel Çelik</v>
      </c>
      <c r="B61" s="2">
        <f>_xlfn.XLOOKUP(A61,datatable[[Name ]],datatable[Salary $ (Yearly)])</f>
        <v>197812</v>
      </c>
      <c r="R61" s="4"/>
      <c r="S61" s="4"/>
    </row>
    <row r="62" spans="1:19" x14ac:dyDescent="0.25">
      <c r="A62" t="str">
        <v>Ayşenur Aksoy</v>
      </c>
      <c r="B62" s="2">
        <f>_xlfn.XLOOKUP(A62,datatable[[Name ]],datatable[Salary $ (Yearly)])</f>
        <v>230202</v>
      </c>
      <c r="R62" s="4"/>
      <c r="S62" s="4"/>
    </row>
    <row r="63" spans="1:19" x14ac:dyDescent="0.25">
      <c r="A63" t="str">
        <v>Barış Yılmaz</v>
      </c>
      <c r="B63" s="2">
        <f>_xlfn.XLOOKUP(A63,datatable[[Name ]],datatable[Salary $ (Yearly)])</f>
        <v>95605</v>
      </c>
      <c r="R63" s="4"/>
      <c r="S63" s="4"/>
    </row>
    <row r="64" spans="1:19" x14ac:dyDescent="0.25">
      <c r="A64" t="str">
        <v>Berkay Aydın</v>
      </c>
      <c r="B64" s="2">
        <f>_xlfn.XLOOKUP(A64,datatable[[Name ]],datatable[Salary $ (Yearly)])</f>
        <v>136503</v>
      </c>
      <c r="R64" s="4"/>
      <c r="S64" s="4"/>
    </row>
    <row r="65" spans="1:19" x14ac:dyDescent="0.25">
      <c r="A65" t="str">
        <v>Beyza Akın</v>
      </c>
      <c r="B65" s="2">
        <f>_xlfn.XLOOKUP(A65,datatable[[Name ]],datatable[Salary $ (Yearly)])</f>
        <v>91192</v>
      </c>
      <c r="R65" s="4"/>
      <c r="S65" s="4"/>
    </row>
    <row r="66" spans="1:19" x14ac:dyDescent="0.25">
      <c r="A66" t="str">
        <v>Beyza Demir</v>
      </c>
      <c r="B66" s="2">
        <f>_xlfn.XLOOKUP(A66,datatable[[Name ]],datatable[Salary $ (Yearly)])</f>
        <v>108569</v>
      </c>
      <c r="R66" s="4"/>
      <c r="S66" s="4"/>
    </row>
    <row r="67" spans="1:19" x14ac:dyDescent="0.25">
      <c r="A67" t="str">
        <v>Büşra Avcı</v>
      </c>
      <c r="B67" s="2">
        <f>_xlfn.XLOOKUP(A67,datatable[[Name ]],datatable[Salary $ (Yearly)])</f>
        <v>87621</v>
      </c>
      <c r="R67" s="4"/>
      <c r="S67" s="4"/>
    </row>
    <row r="68" spans="1:19" x14ac:dyDescent="0.25">
      <c r="A68" t="str">
        <v>Can Yıldız</v>
      </c>
      <c r="B68" s="2">
        <f>_xlfn.XLOOKUP(A68,datatable[[Name ]],datatable[Salary $ (Yearly)])</f>
        <v>274977</v>
      </c>
      <c r="R68" s="4"/>
      <c r="S68" s="4"/>
    </row>
    <row r="69" spans="1:19" x14ac:dyDescent="0.25">
      <c r="A69" t="str">
        <v>Cansu Kaya</v>
      </c>
      <c r="B69" s="2">
        <f>_xlfn.XLOOKUP(A69,datatable[[Name ]],datatable[Salary $ (Yearly)])</f>
        <v>261329</v>
      </c>
      <c r="R69" s="4"/>
      <c r="S69" s="4"/>
    </row>
    <row r="70" spans="1:19" x14ac:dyDescent="0.25">
      <c r="A70" t="str">
        <v>Cansu Yılmaz</v>
      </c>
      <c r="B70" s="2">
        <f>_xlfn.XLOOKUP(A70,datatable[[Name ]],datatable[Salary $ (Yearly)])</f>
        <v>250506</v>
      </c>
      <c r="R70" s="4"/>
      <c r="S70" s="4"/>
    </row>
    <row r="71" spans="1:19" x14ac:dyDescent="0.25">
      <c r="A71" t="str">
        <v>Carla Costa</v>
      </c>
      <c r="B71" s="2">
        <f>_xlfn.XLOOKUP(A71,datatable[[Name ]],datatable[Salary $ (Yearly)])</f>
        <v>254815</v>
      </c>
      <c r="R71" s="4"/>
      <c r="S71" s="4"/>
    </row>
    <row r="72" spans="1:19" x14ac:dyDescent="0.25">
      <c r="A72" t="str">
        <v>Carlo Bernardi</v>
      </c>
      <c r="B72" s="2">
        <f>_xlfn.XLOOKUP(A72,datatable[[Name ]],datatable[Salary $ (Yearly)])</f>
        <v>270410</v>
      </c>
      <c r="R72" s="4"/>
      <c r="S72" s="4"/>
    </row>
    <row r="73" spans="1:19" x14ac:dyDescent="0.25">
      <c r="A73" t="str">
        <v>Carlo Coppola</v>
      </c>
      <c r="B73" s="2">
        <f>_xlfn.XLOOKUP(A73,datatable[[Name ]],datatable[Salary $ (Yearly)])</f>
        <v>189548</v>
      </c>
      <c r="R73" s="4"/>
      <c r="S73" s="4"/>
    </row>
    <row r="74" spans="1:19" x14ac:dyDescent="0.25">
      <c r="A74" t="str">
        <v>Carlo Vitale</v>
      </c>
      <c r="B74" s="2">
        <f>_xlfn.XLOOKUP(A74,datatable[[Name ]],datatable[Salary $ (Yearly)])</f>
        <v>68328</v>
      </c>
      <c r="R74" s="4"/>
      <c r="S74" s="4"/>
    </row>
    <row r="75" spans="1:19" x14ac:dyDescent="0.25">
      <c r="A75" t="str">
        <v>Carolina Costa</v>
      </c>
      <c r="B75" s="2">
        <f>_xlfn.XLOOKUP(A75,datatable[[Name ]],datatable[Salary $ (Yearly)])</f>
        <v>91164</v>
      </c>
      <c r="R75" s="4"/>
      <c r="S75" s="4"/>
    </row>
    <row r="76" spans="1:19" x14ac:dyDescent="0.25">
      <c r="A76" t="str">
        <v>Catherine Martin</v>
      </c>
      <c r="B76" s="2">
        <f>_xlfn.XLOOKUP(A76,datatable[[Name ]],datatable[Salary $ (Yearly)])</f>
        <v>180506</v>
      </c>
      <c r="R76" s="4"/>
      <c r="S76" s="4"/>
    </row>
    <row r="77" spans="1:19" x14ac:dyDescent="0.25">
      <c r="A77" t="str">
        <v>Cem Özdemir</v>
      </c>
      <c r="B77" s="2">
        <f>_xlfn.XLOOKUP(A77,datatable[[Name ]],datatable[Salary $ (Yearly)])</f>
        <v>205042</v>
      </c>
      <c r="R77" s="4"/>
      <c r="S77" s="4"/>
    </row>
    <row r="78" spans="1:19" x14ac:dyDescent="0.25">
      <c r="A78" t="str">
        <v>Cemre Kaya</v>
      </c>
      <c r="B78" s="2">
        <f>_xlfn.XLOOKUP(A78,datatable[[Name ]],datatable[Salary $ (Yearly)])</f>
        <v>203316</v>
      </c>
      <c r="R78" s="4"/>
      <c r="S78" s="4"/>
    </row>
    <row r="79" spans="1:19" x14ac:dyDescent="0.25">
      <c r="A79" t="str">
        <v>Cemre Yılmaz</v>
      </c>
      <c r="B79" s="2">
        <f>_xlfn.XLOOKUP(A79,datatable[[Name ]],datatable[Salary $ (Yearly)])</f>
        <v>197767</v>
      </c>
      <c r="R79" s="4"/>
      <c r="S79" s="4"/>
    </row>
    <row r="80" spans="1:19" x14ac:dyDescent="0.25">
      <c r="A80" t="str">
        <v>Ceren Aydın</v>
      </c>
      <c r="B80" s="2">
        <f>_xlfn.XLOOKUP(A80,datatable[[Name ]],datatable[Salary $ (Yearly)])</f>
        <v>91979</v>
      </c>
      <c r="R80" s="4"/>
      <c r="S80" s="4"/>
    </row>
    <row r="81" spans="1:19" x14ac:dyDescent="0.25">
      <c r="A81" t="str">
        <v>Ceren Kaya</v>
      </c>
      <c r="B81" s="2">
        <f>_xlfn.XLOOKUP(A81,datatable[[Name ]],datatable[Salary $ (Yearly)])</f>
        <v>89834</v>
      </c>
      <c r="R81" s="4"/>
      <c r="S81" s="4"/>
    </row>
    <row r="82" spans="1:19" x14ac:dyDescent="0.25">
      <c r="A82" t="str">
        <v>Ceyda Aydın</v>
      </c>
      <c r="B82" s="2">
        <f>_xlfn.XLOOKUP(A82,datatable[[Name ]],datatable[Salary $ (Yearly)])</f>
        <v>93905</v>
      </c>
      <c r="R82" s="4"/>
      <c r="S82" s="4"/>
    </row>
    <row r="83" spans="1:19" x14ac:dyDescent="0.25">
      <c r="A83" t="str">
        <v>Ceyda Yıldız</v>
      </c>
      <c r="B83" s="2">
        <f>_xlfn.XLOOKUP(A83,datatable[[Name ]],datatable[Salary $ (Yearly)])</f>
        <v>273390</v>
      </c>
      <c r="R83" s="4"/>
      <c r="S83" s="4"/>
    </row>
    <row r="84" spans="1:19" x14ac:dyDescent="0.25">
      <c r="A84" t="str">
        <v>Chiara Bianchi</v>
      </c>
      <c r="B84" s="2">
        <f>_xlfn.XLOOKUP(A84,datatable[[Name ]],datatable[Salary $ (Yearly)])</f>
        <v>271323</v>
      </c>
      <c r="R84" s="4"/>
      <c r="S84" s="4"/>
    </row>
    <row r="85" spans="1:19" x14ac:dyDescent="0.25">
      <c r="A85" t="str">
        <v>Christian Fischer</v>
      </c>
      <c r="B85" s="2">
        <f>_xlfn.XLOOKUP(A85,datatable[[Name ]],datatable[Salary $ (Yearly)])</f>
        <v>325389</v>
      </c>
      <c r="R85" s="4"/>
      <c r="S85" s="4"/>
    </row>
    <row r="86" spans="1:19" x14ac:dyDescent="0.25">
      <c r="A86" t="str">
        <v>Christina Müller</v>
      </c>
      <c r="B86" s="2">
        <f>_xlfn.XLOOKUP(A86,datatable[[Name ]],datatable[Salary $ (Yearly)])</f>
        <v>121515</v>
      </c>
      <c r="R86" s="4"/>
      <c r="S86" s="4"/>
    </row>
    <row r="87" spans="1:19" x14ac:dyDescent="0.25">
      <c r="A87" t="str">
        <v>Çınar Kaya</v>
      </c>
      <c r="B87" s="2">
        <f>_xlfn.XLOOKUP(A87,datatable[[Name ]],datatable[Salary $ (Yearly)])</f>
        <v>236491</v>
      </c>
      <c r="R87" s="4"/>
      <c r="S87" s="4"/>
    </row>
    <row r="88" spans="1:19" x14ac:dyDescent="0.25">
      <c r="A88" t="str">
        <v>Claudio De Luca</v>
      </c>
      <c r="B88" s="2">
        <f>_xlfn.XLOOKUP(A88,datatable[[Name ]],datatable[Salary $ (Yearly)])</f>
        <v>82781</v>
      </c>
      <c r="R88" s="4"/>
      <c r="S88" s="4"/>
    </row>
    <row r="89" spans="1:19" x14ac:dyDescent="0.25">
      <c r="A89" t="str">
        <v>Cristian Martin</v>
      </c>
      <c r="B89" s="2">
        <f>_xlfn.XLOOKUP(A89,datatable[[Name ]],datatable[Salary $ (Yearly)])</f>
        <v>135137</v>
      </c>
      <c r="R89" s="4"/>
      <c r="S89" s="4"/>
    </row>
    <row r="90" spans="1:19" x14ac:dyDescent="0.25">
      <c r="A90" t="str">
        <v>Cristian Müller</v>
      </c>
      <c r="B90" s="2">
        <f>_xlfn.XLOOKUP(A90,datatable[[Name ]],datatable[Salary $ (Yearly)])</f>
        <v>120409</v>
      </c>
      <c r="R90" s="4"/>
      <c r="S90" s="4"/>
    </row>
    <row r="91" spans="1:19" x14ac:dyDescent="0.25">
      <c r="A91" t="str">
        <v>Cristina Carvalho</v>
      </c>
      <c r="B91" s="2">
        <f>_xlfn.XLOOKUP(A91,datatable[[Name ]],datatable[Salary $ (Yearly)])</f>
        <v>246961</v>
      </c>
      <c r="R91" s="4"/>
      <c r="S91" s="4"/>
    </row>
    <row r="92" spans="1:19" x14ac:dyDescent="0.25">
      <c r="A92" t="str">
        <v>Daniel Müller</v>
      </c>
      <c r="B92" s="2">
        <f>_xlfn.XLOOKUP(A92,datatable[[Name ]],datatable[Salary $ (Yearly)])</f>
        <v>73296</v>
      </c>
      <c r="R92" s="4"/>
      <c r="S92" s="4"/>
    </row>
    <row r="93" spans="1:19" x14ac:dyDescent="0.25">
      <c r="A93" t="str">
        <v>Daniel Schmidt</v>
      </c>
      <c r="B93" s="2">
        <f>_xlfn.XLOOKUP(A93,datatable[[Name ]],datatable[Salary $ (Yearly)])</f>
        <v>147563</v>
      </c>
      <c r="R93" s="4"/>
      <c r="S93" s="4"/>
    </row>
    <row r="94" spans="1:19" x14ac:dyDescent="0.25">
      <c r="A94" t="str">
        <v>Daniele Barbieri</v>
      </c>
      <c r="B94" s="2">
        <f>_xlfn.XLOOKUP(A94,datatable[[Name ]],datatable[Salary $ (Yearly)])</f>
        <v>261050</v>
      </c>
      <c r="R94" s="4"/>
      <c r="S94" s="4"/>
    </row>
    <row r="95" spans="1:19" x14ac:dyDescent="0.25">
      <c r="A95" t="str">
        <v>David Schmidt</v>
      </c>
      <c r="B95" s="2">
        <f>_xlfn.XLOOKUP(A95,datatable[[Name ]],datatable[Salary $ (Yearly)])</f>
        <v>60578</v>
      </c>
      <c r="R95" s="4"/>
      <c r="S95" s="4"/>
    </row>
    <row r="96" spans="1:19" x14ac:dyDescent="0.25">
      <c r="A96" t="str">
        <v>David Weber</v>
      </c>
      <c r="B96" s="2">
        <f>_xlfn.XLOOKUP(A96,datatable[[Name ]],datatable[Salary $ (Yearly)])</f>
        <v>246716</v>
      </c>
      <c r="R96" s="4"/>
      <c r="S96" s="4"/>
    </row>
    <row r="97" spans="1:19" x14ac:dyDescent="0.25">
      <c r="A97" t="str">
        <v>Davide Ferrari</v>
      </c>
      <c r="B97" s="2">
        <f>_xlfn.XLOOKUP(A97,datatable[[Name ]],datatable[Salary $ (Yearly)])</f>
        <v>238415</v>
      </c>
      <c r="R97" s="4"/>
      <c r="S97" s="4"/>
    </row>
    <row r="98" spans="1:19" x14ac:dyDescent="0.25">
      <c r="A98" t="str">
        <v>Davide Martini</v>
      </c>
      <c r="B98" s="2">
        <f>_xlfn.XLOOKUP(A98,datatable[[Name ]],datatable[Salary $ (Yearly)])</f>
        <v>89907</v>
      </c>
      <c r="R98" s="4"/>
      <c r="S98" s="4"/>
    </row>
    <row r="99" spans="1:19" x14ac:dyDescent="0.25">
      <c r="A99" t="str">
        <v>Davide Sartori</v>
      </c>
      <c r="B99" s="2">
        <f>_xlfn.XLOOKUP(A99,datatable[[Name ]],datatable[Salary $ (Yearly)])</f>
        <v>241569</v>
      </c>
      <c r="R99" s="4"/>
      <c r="S99" s="4"/>
    </row>
    <row r="100" spans="1:19" x14ac:dyDescent="0.25">
      <c r="A100" t="str">
        <v>Denisov Petrov</v>
      </c>
      <c r="B100" s="2">
        <f>_xlfn.XLOOKUP(A100,datatable[[Name ]],datatable[Salary $ (Yearly)])</f>
        <v>201737</v>
      </c>
      <c r="R100" s="4"/>
      <c r="S100" s="4"/>
    </row>
    <row r="101" spans="1:19" x14ac:dyDescent="0.25">
      <c r="A101" t="str">
        <v>Deniz Aydın</v>
      </c>
      <c r="B101" s="2">
        <f>_xlfn.XLOOKUP(A101,datatable[[Name ]],datatable[Salary $ (Yearly)])</f>
        <v>61323</v>
      </c>
      <c r="R101" s="4"/>
      <c r="S101" s="4"/>
    </row>
    <row r="102" spans="1:19" x14ac:dyDescent="0.25">
      <c r="A102" t="str">
        <v>Deniz Can</v>
      </c>
      <c r="B102" s="2">
        <f>_xlfn.XLOOKUP(A102,datatable[[Name ]],datatable[Salary $ (Yearly)])</f>
        <v>295104</v>
      </c>
      <c r="R102" s="4"/>
      <c r="S102" s="4"/>
    </row>
    <row r="103" spans="1:19" x14ac:dyDescent="0.25">
      <c r="A103" t="str">
        <v>Deniz Kılıç</v>
      </c>
      <c r="B103" s="2">
        <f>_xlfn.XLOOKUP(A103,datatable[[Name ]],datatable[Salary $ (Yearly)])</f>
        <v>261979</v>
      </c>
      <c r="R103" s="4"/>
      <c r="S103" s="4"/>
    </row>
    <row r="104" spans="1:19" x14ac:dyDescent="0.25">
      <c r="A104" t="str">
        <v>Deniz Yıldız</v>
      </c>
      <c r="B104" s="2">
        <f>_xlfn.XLOOKUP(A104,datatable[[Name ]],datatable[Salary $ (Yearly)])</f>
        <v>112097</v>
      </c>
      <c r="R104" s="4"/>
      <c r="S104" s="4"/>
    </row>
    <row r="105" spans="1:19" x14ac:dyDescent="0.25">
      <c r="A105" t="str">
        <v>Deniz Yılmaz</v>
      </c>
      <c r="B105" s="2">
        <f>_xlfn.XLOOKUP(A105,datatable[[Name ]],datatable[Salary $ (Yearly)])</f>
        <v>182675</v>
      </c>
      <c r="R105" s="4"/>
      <c r="S105" s="4"/>
    </row>
    <row r="106" spans="1:19" x14ac:dyDescent="0.25">
      <c r="A106" t="str">
        <v>Derya Çelik</v>
      </c>
      <c r="B106" s="2">
        <f>_xlfn.XLOOKUP(A106,datatable[[Name ]],datatable[Salary $ (Yearly)])</f>
        <v>234380</v>
      </c>
      <c r="R106" s="4"/>
      <c r="S106" s="4"/>
    </row>
    <row r="107" spans="1:19" x14ac:dyDescent="0.25">
      <c r="A107" t="str">
        <v>Derya Yıldız</v>
      </c>
      <c r="B107" s="2">
        <f>_xlfn.XLOOKUP(A107,datatable[[Name ]],datatable[Salary $ (Yearly)])</f>
        <v>142014</v>
      </c>
      <c r="R107" s="4"/>
      <c r="S107" s="4"/>
    </row>
    <row r="108" spans="1:19" x14ac:dyDescent="0.25">
      <c r="A108" t="str">
        <v>Dilara Kaya</v>
      </c>
      <c r="B108" s="2">
        <f>_xlfn.XLOOKUP(A108,datatable[[Name ]],datatable[Salary $ (Yearly)])</f>
        <v>127975</v>
      </c>
      <c r="R108" s="4"/>
      <c r="S108" s="4"/>
    </row>
    <row r="109" spans="1:19" x14ac:dyDescent="0.25">
      <c r="A109" t="str">
        <v>Dilek Yıldırım</v>
      </c>
      <c r="B109" s="2">
        <f>_xlfn.XLOOKUP(A109,datatable[[Name ]],datatable[Salary $ (Yearly)])</f>
        <v>259469</v>
      </c>
      <c r="R109" s="4"/>
      <c r="S109" s="4"/>
    </row>
    <row r="110" spans="1:19" x14ac:dyDescent="0.25">
      <c r="A110" t="str">
        <v>Dmitri Ivanov</v>
      </c>
      <c r="B110" s="2">
        <f>_xlfn.XLOOKUP(A110,datatable[[Name ]],datatable[Salary $ (Yearly)])</f>
        <v>248585</v>
      </c>
      <c r="R110" s="4"/>
      <c r="S110" s="4"/>
    </row>
    <row r="111" spans="1:19" x14ac:dyDescent="0.25">
      <c r="A111" t="str">
        <v>Dmitriy Smirnov</v>
      </c>
      <c r="B111" s="2">
        <f>_xlfn.XLOOKUP(A111,datatable[[Name ]],datatable[Salary $ (Yearly)])</f>
        <v>266805</v>
      </c>
      <c r="R111" s="4"/>
      <c r="S111" s="4"/>
    </row>
    <row r="112" spans="1:19" x14ac:dyDescent="0.25">
      <c r="A112" t="str">
        <v>Domenico Giuliani</v>
      </c>
      <c r="B112" s="2">
        <f>_xlfn.XLOOKUP(A112,datatable[[Name ]],datatable[Salary $ (Yearly)])</f>
        <v>199076</v>
      </c>
      <c r="R112" s="4"/>
      <c r="S112" s="4"/>
    </row>
    <row r="113" spans="1:19" x14ac:dyDescent="0.25">
      <c r="A113" t="str">
        <v>Dominik Müller</v>
      </c>
      <c r="B113" s="2">
        <f>_xlfn.XLOOKUP(A113,datatable[[Name ]],datatable[Salary $ (Yearly)])</f>
        <v>194140</v>
      </c>
      <c r="R113" s="4"/>
      <c r="S113" s="4"/>
    </row>
    <row r="114" spans="1:19" x14ac:dyDescent="0.25">
      <c r="A114" t="str">
        <v>Ebru Demir</v>
      </c>
      <c r="B114" s="2">
        <f>_xlfn.XLOOKUP(A114,datatable[[Name ]],datatable[Salary $ (Yearly)])</f>
        <v>186853</v>
      </c>
      <c r="R114" s="4"/>
      <c r="S114" s="4"/>
    </row>
    <row r="115" spans="1:19" x14ac:dyDescent="0.25">
      <c r="A115" t="str">
        <v>Ebru Kaya</v>
      </c>
      <c r="B115" s="2">
        <f>_xlfn.XLOOKUP(A115,datatable[[Name ]],datatable[Salary $ (Yearly)])</f>
        <v>120426</v>
      </c>
      <c r="R115" s="4"/>
      <c r="S115" s="4"/>
    </row>
    <row r="116" spans="1:19" x14ac:dyDescent="0.25">
      <c r="A116" t="str">
        <v>Ebru Yıldırım</v>
      </c>
      <c r="B116" s="2">
        <f>_xlfn.XLOOKUP(A116,datatable[[Name ]],datatable[Salary $ (Yearly)])</f>
        <v>82121</v>
      </c>
      <c r="R116" s="4"/>
      <c r="S116" s="4"/>
    </row>
    <row r="117" spans="1:19" x14ac:dyDescent="0.25">
      <c r="A117" t="str">
        <v>Ebru Yıldız</v>
      </c>
      <c r="B117" s="2">
        <f>_xlfn.XLOOKUP(A117,datatable[[Name ]],datatable[Salary $ (Yearly)])</f>
        <v>83799</v>
      </c>
      <c r="R117" s="4"/>
      <c r="S117" s="4"/>
    </row>
    <row r="118" spans="1:19" x14ac:dyDescent="0.25">
      <c r="A118" t="str">
        <v>Ebru Yılmaz</v>
      </c>
      <c r="B118" s="2">
        <f>_xlfn.XLOOKUP(A118,datatable[[Name ]],datatable[Salary $ (Yearly)])</f>
        <v>259092</v>
      </c>
      <c r="R118" s="4"/>
      <c r="S118" s="4"/>
    </row>
    <row r="119" spans="1:19" x14ac:dyDescent="0.25">
      <c r="A119" t="str">
        <v>Ece Demir</v>
      </c>
      <c r="B119" s="2">
        <f>_xlfn.XLOOKUP(A119,datatable[[Name ]],datatable[Salary $ (Yearly)])</f>
        <v>98395</v>
      </c>
      <c r="R119" s="4"/>
      <c r="S119" s="4"/>
    </row>
    <row r="120" spans="1:19" x14ac:dyDescent="0.25">
      <c r="A120" t="str">
        <v>Ece Yıldırım</v>
      </c>
      <c r="B120" s="2">
        <f>_xlfn.XLOOKUP(A120,datatable[[Name ]],datatable[Salary $ (Yearly)])</f>
        <v>99424</v>
      </c>
      <c r="R120" s="4"/>
      <c r="S120" s="4"/>
    </row>
    <row r="121" spans="1:19" x14ac:dyDescent="0.25">
      <c r="A121" t="str">
        <v>Ege Yıldız</v>
      </c>
      <c r="B121" s="2">
        <f>_xlfn.XLOOKUP(A121,datatable[[Name ]],datatable[Salary $ (Yearly)])</f>
        <v>241679</v>
      </c>
      <c r="R121" s="4"/>
      <c r="S121" s="4"/>
    </row>
    <row r="122" spans="1:19" x14ac:dyDescent="0.25">
      <c r="A122" t="str">
        <v>Ege Yılmaz</v>
      </c>
      <c r="B122" s="2">
        <f>_xlfn.XLOOKUP(A122,datatable[[Name ]],datatable[Salary $ (Yearly)])</f>
        <v>245302</v>
      </c>
      <c r="R122" s="4"/>
      <c r="S122" s="4"/>
    </row>
    <row r="123" spans="1:19" x14ac:dyDescent="0.25">
      <c r="A123" t="str">
        <v>Ela Yıldız</v>
      </c>
      <c r="B123" s="2">
        <f>_xlfn.XLOOKUP(A123,datatable[[Name ]],datatable[Salary $ (Yearly)])</f>
        <v>90842</v>
      </c>
      <c r="R123" s="4"/>
      <c r="S123" s="4"/>
    </row>
    <row r="124" spans="1:19" x14ac:dyDescent="0.25">
      <c r="A124" t="str">
        <v>Ela Yılmaz</v>
      </c>
      <c r="B124" s="2">
        <f>_xlfn.XLOOKUP(A124,datatable[[Name ]],datatable[Salary $ (Yearly)])</f>
        <v>121513</v>
      </c>
      <c r="R124" s="4"/>
      <c r="S124" s="4"/>
    </row>
    <row r="125" spans="1:19" x14ac:dyDescent="0.25">
      <c r="A125" t="str">
        <v>Elena Kovalenko</v>
      </c>
      <c r="B125" s="2">
        <f>_xlfn.XLOOKUP(A125,datatable[[Name ]],datatable[Salary $ (Yearly)])</f>
        <v>209718</v>
      </c>
      <c r="R125" s="4"/>
      <c r="S125" s="4"/>
    </row>
    <row r="126" spans="1:19" x14ac:dyDescent="0.25">
      <c r="A126" t="str">
        <v>Elena Pinto</v>
      </c>
      <c r="B126" s="2">
        <f>_xlfn.XLOOKUP(A126,datatable[[Name ]],datatable[Salary $ (Yearly)])</f>
        <v>258451</v>
      </c>
      <c r="R126" s="4"/>
      <c r="S126" s="4"/>
    </row>
    <row r="127" spans="1:19" x14ac:dyDescent="0.25">
      <c r="A127" t="str">
        <v>Elena Rossi</v>
      </c>
      <c r="B127" s="2">
        <f>_xlfn.XLOOKUP(A127,datatable[[Name ]],datatable[Salary $ (Yearly)])</f>
        <v>125702</v>
      </c>
      <c r="R127" s="4"/>
      <c r="S127" s="4"/>
    </row>
    <row r="128" spans="1:19" x14ac:dyDescent="0.25">
      <c r="A128" t="str">
        <v>Elena Schmidt</v>
      </c>
      <c r="B128" s="2">
        <f>_xlfn.XLOOKUP(A128,datatable[[Name ]],datatable[Salary $ (Yearly)])</f>
        <v>292891</v>
      </c>
      <c r="R128" s="4"/>
      <c r="S128" s="4"/>
    </row>
    <row r="129" spans="1:19" x14ac:dyDescent="0.25">
      <c r="A129" t="str">
        <v>Elena Smirnova</v>
      </c>
      <c r="B129" s="2">
        <f>_xlfn.XLOOKUP(A129,datatable[[Name ]],datatable[Salary $ (Yearly)])</f>
        <v>226184</v>
      </c>
      <c r="R129" s="4"/>
      <c r="S129" s="4"/>
    </row>
    <row r="130" spans="1:19" x14ac:dyDescent="0.25">
      <c r="A130" t="str">
        <v>Elif Kaya</v>
      </c>
      <c r="B130" s="2">
        <f>_xlfn.XLOOKUP(A130,datatable[[Name ]],datatable[Salary $ (Yearly)])</f>
        <v>118655</v>
      </c>
      <c r="R130" s="4"/>
      <c r="S130" s="4"/>
    </row>
    <row r="131" spans="1:19" x14ac:dyDescent="0.25">
      <c r="A131" t="str">
        <v>Elif Yıldırım</v>
      </c>
      <c r="B131" s="2">
        <f>_xlfn.XLOOKUP(A131,datatable[[Name ]],datatable[Salary $ (Yearly)])</f>
        <v>130774</v>
      </c>
      <c r="R131" s="4"/>
      <c r="S131" s="4"/>
    </row>
    <row r="132" spans="1:19" x14ac:dyDescent="0.25">
      <c r="A132" t="str">
        <v>Elif Yıldız</v>
      </c>
      <c r="B132" s="2">
        <f>_xlfn.XLOOKUP(A132,datatable[[Name ]],datatable[Salary $ (Yearly)])</f>
        <v>98418</v>
      </c>
      <c r="R132" s="4"/>
      <c r="S132" s="4"/>
    </row>
    <row r="133" spans="1:19" x14ac:dyDescent="0.25">
      <c r="A133" t="str">
        <v>Elif Yılmaz</v>
      </c>
      <c r="B133" s="2">
        <f>_xlfn.XLOOKUP(A133,datatable[[Name ]],datatable[Salary $ (Yearly)])</f>
        <v>138854</v>
      </c>
      <c r="R133" s="4"/>
      <c r="S133" s="4"/>
    </row>
    <row r="134" spans="1:19" x14ac:dyDescent="0.25">
      <c r="A134" t="str">
        <v>Emanuela Bianchi</v>
      </c>
      <c r="B134" s="2">
        <f>_xlfn.XLOOKUP(A134,datatable[[Name ]],datatable[Salary $ (Yearly)])</f>
        <v>234928</v>
      </c>
      <c r="R134" s="4"/>
      <c r="S134" s="4"/>
    </row>
    <row r="135" spans="1:19" x14ac:dyDescent="0.25">
      <c r="A135" t="str">
        <v>Emanuele Costa</v>
      </c>
      <c r="B135" s="2">
        <f>_xlfn.XLOOKUP(A135,datatable[[Name ]],datatable[Salary $ (Yearly)])</f>
        <v>186636</v>
      </c>
      <c r="R135" s="4"/>
      <c r="S135" s="4"/>
    </row>
    <row r="136" spans="1:19" x14ac:dyDescent="0.25">
      <c r="A136" t="str">
        <v>Emanuele De Santis</v>
      </c>
      <c r="B136" s="2">
        <f>_xlfn.XLOOKUP(A136,datatable[[Name ]],datatable[Salary $ (Yearly)])</f>
        <v>235909</v>
      </c>
      <c r="R136" s="4"/>
      <c r="S136" s="4"/>
    </row>
    <row r="137" spans="1:19" x14ac:dyDescent="0.25">
      <c r="A137" t="str">
        <v>Emily Johnson</v>
      </c>
      <c r="B137" s="2">
        <f>_xlfn.XLOOKUP(A137,datatable[[Name ]],datatable[Salary $ (Yearly)])</f>
        <v>144437</v>
      </c>
      <c r="R137" s="4"/>
      <c r="S137" s="4"/>
    </row>
    <row r="138" spans="1:19" x14ac:dyDescent="0.25">
      <c r="A138" t="str">
        <v>Emine Yılmaz</v>
      </c>
      <c r="B138" s="2">
        <f>_xlfn.XLOOKUP(A138,datatable[[Name ]],datatable[Salary $ (Yearly)])</f>
        <v>197945</v>
      </c>
      <c r="R138" s="4"/>
      <c r="S138" s="4"/>
    </row>
    <row r="139" spans="1:19" x14ac:dyDescent="0.25">
      <c r="A139" t="str">
        <v>Emir Aydın</v>
      </c>
      <c r="B139" s="2">
        <f>_xlfn.XLOOKUP(A139,datatable[[Name ]],datatable[Salary $ (Yearly)])</f>
        <v>229569</v>
      </c>
      <c r="R139" s="4"/>
      <c r="S139" s="4"/>
    </row>
    <row r="140" spans="1:19" x14ac:dyDescent="0.25">
      <c r="A140" t="str">
        <v>Emma Johnson</v>
      </c>
      <c r="B140" s="2">
        <f>_xlfn.XLOOKUP(A140,datatable[[Name ]],datatable[Salary $ (Yearly)])</f>
        <v>236495</v>
      </c>
      <c r="R140" s="4"/>
      <c r="S140" s="4"/>
    </row>
    <row r="141" spans="1:19" x14ac:dyDescent="0.25">
      <c r="A141" t="str">
        <v>Emre Özkan</v>
      </c>
      <c r="B141" s="2">
        <f>_xlfn.XLOOKUP(A141,datatable[[Name ]],datatable[Salary $ (Yearly)])</f>
        <v>72267</v>
      </c>
      <c r="R141" s="4"/>
      <c r="S141" s="4"/>
    </row>
    <row r="142" spans="1:19" x14ac:dyDescent="0.25">
      <c r="A142" t="str">
        <v>Emre Yıldırım</v>
      </c>
      <c r="B142" s="2">
        <f>_xlfn.XLOOKUP(A142,datatable[[Name ]],datatable[Salary $ (Yearly)])</f>
        <v>189293</v>
      </c>
      <c r="R142" s="4"/>
      <c r="S142" s="4"/>
    </row>
    <row r="143" spans="1:19" x14ac:dyDescent="0.25">
      <c r="A143" t="str">
        <v>Enes Akın</v>
      </c>
      <c r="B143" s="2">
        <f>_xlfn.XLOOKUP(A143,datatable[[Name ]],datatable[Salary $ (Yearly)])</f>
        <v>255261</v>
      </c>
      <c r="R143" s="4"/>
      <c r="S143" s="4"/>
    </row>
    <row r="144" spans="1:19" x14ac:dyDescent="0.25">
      <c r="A144" t="str">
        <v>Ercan Yıldırım</v>
      </c>
      <c r="B144" s="2">
        <f>_xlfn.XLOOKUP(A144,datatable[[Name ]],datatable[Salary $ (Yearly)])</f>
        <v>249337</v>
      </c>
      <c r="R144" s="4"/>
      <c r="S144" s="4"/>
    </row>
    <row r="145" spans="1:19" x14ac:dyDescent="0.25">
      <c r="A145" t="str">
        <v>Erdem Yılmaz</v>
      </c>
      <c r="B145" s="2">
        <f>_xlfn.XLOOKUP(A145,datatable[[Name ]],datatable[Salary $ (Yearly)])</f>
        <v>222578</v>
      </c>
      <c r="R145" s="4"/>
      <c r="S145" s="4"/>
    </row>
    <row r="146" spans="1:19" x14ac:dyDescent="0.25">
      <c r="A146" t="str">
        <v>Eren Schmidt</v>
      </c>
      <c r="B146" s="2">
        <f>_xlfn.XLOOKUP(A146,datatable[[Name ]],datatable[Salary $ (Yearly)])</f>
        <v>245096</v>
      </c>
      <c r="R146" s="4"/>
      <c r="S146" s="4"/>
    </row>
    <row r="147" spans="1:19" x14ac:dyDescent="0.25">
      <c r="A147" t="str">
        <v>Eren Yıldırım</v>
      </c>
      <c r="B147" s="2">
        <f>_xlfn.XLOOKUP(A147,datatable[[Name ]],datatable[Salary $ (Yearly)])</f>
        <v>118023</v>
      </c>
      <c r="R147" s="4"/>
      <c r="S147" s="4"/>
    </row>
    <row r="148" spans="1:19" x14ac:dyDescent="0.25">
      <c r="A148" t="str">
        <v>Esra Kaya</v>
      </c>
      <c r="B148" s="2">
        <f>_xlfn.XLOOKUP(A148,datatable[[Name ]],datatable[Salary $ (Yearly)])</f>
        <v>107126</v>
      </c>
      <c r="R148" s="4"/>
      <c r="S148" s="4"/>
    </row>
    <row r="149" spans="1:19" x14ac:dyDescent="0.25">
      <c r="A149" t="str">
        <v>Esra Yıldırım</v>
      </c>
      <c r="B149" s="2">
        <f>_xlfn.XLOOKUP(A149,datatable[[Name ]],datatable[Salary $ (Yearly)])</f>
        <v>222891</v>
      </c>
      <c r="R149" s="4"/>
      <c r="S149" s="4"/>
    </row>
    <row r="150" spans="1:19" x14ac:dyDescent="0.25">
      <c r="A150" t="str">
        <v>Esra Yıldız</v>
      </c>
      <c r="B150" s="2">
        <f>_xlfn.XLOOKUP(A150,datatable[[Name ]],datatable[Salary $ (Yearly)])</f>
        <v>195890</v>
      </c>
      <c r="R150" s="4"/>
      <c r="S150" s="4"/>
    </row>
    <row r="151" spans="1:19" x14ac:dyDescent="0.25">
      <c r="A151" t="str">
        <v>Esra Yılmaz</v>
      </c>
      <c r="B151" s="2">
        <f>_xlfn.XLOOKUP(A151,datatable[[Name ]],datatable[Salary $ (Yearly)])</f>
        <v>125172</v>
      </c>
      <c r="R151" s="4"/>
      <c r="S151" s="4"/>
    </row>
    <row r="152" spans="1:19" x14ac:dyDescent="0.25">
      <c r="A152" t="str">
        <v>Ezgi Kaya</v>
      </c>
      <c r="B152" s="2">
        <f>_xlfn.XLOOKUP(A152,datatable[[Name ]],datatable[Salary $ (Yearly)])</f>
        <v>61140</v>
      </c>
      <c r="R152" s="4"/>
      <c r="S152" s="4"/>
    </row>
    <row r="153" spans="1:19" x14ac:dyDescent="0.25">
      <c r="A153" t="str">
        <v>Ezgi Yıldırım</v>
      </c>
      <c r="B153" s="2">
        <f>_xlfn.XLOOKUP(A153,datatable[[Name ]],datatable[Salary $ (Yearly)])</f>
        <v>255216</v>
      </c>
      <c r="R153" s="4"/>
      <c r="S153" s="4"/>
    </row>
    <row r="154" spans="1:19" x14ac:dyDescent="0.25">
      <c r="A154" t="str">
        <v>Ezgi Yılmaz</v>
      </c>
      <c r="B154" s="2">
        <f>_xlfn.XLOOKUP(A154,datatable[[Name ]],datatable[Salary $ (Yearly)])</f>
        <v>147474</v>
      </c>
      <c r="R154" s="4"/>
      <c r="S154" s="4"/>
    </row>
    <row r="155" spans="1:19" x14ac:dyDescent="0.25">
      <c r="A155" t="str">
        <v>Fabio Bernardi</v>
      </c>
      <c r="B155" s="2">
        <f>_xlfn.XLOOKUP(A155,datatable[[Name ]],datatable[Salary $ (Yearly)])</f>
        <v>183659</v>
      </c>
      <c r="R155" s="4"/>
      <c r="S155" s="4"/>
    </row>
    <row r="156" spans="1:19" x14ac:dyDescent="0.25">
      <c r="A156" t="str">
        <v>Fabrizio Moretti</v>
      </c>
      <c r="B156" s="2">
        <f>_xlfn.XLOOKUP(A156,datatable[[Name ]],datatable[Salary $ (Yearly)])</f>
        <v>192029</v>
      </c>
      <c r="R156" s="4"/>
      <c r="S156" s="4"/>
    </row>
    <row r="157" spans="1:19" x14ac:dyDescent="0.25">
      <c r="A157" t="str">
        <v>Fatih Kılıç</v>
      </c>
      <c r="B157" s="2">
        <f>_xlfn.XLOOKUP(A157,datatable[[Name ]],datatable[Salary $ (Yearly)])</f>
        <v>236203</v>
      </c>
      <c r="R157" s="4"/>
      <c r="S157" s="4"/>
    </row>
    <row r="158" spans="1:19" x14ac:dyDescent="0.25">
      <c r="A158" t="str">
        <v>Fatma Öztürk</v>
      </c>
      <c r="B158" s="2">
        <f>_xlfn.XLOOKUP(A158,datatable[[Name ]],datatable[Salary $ (Yearly)])</f>
        <v>286794</v>
      </c>
      <c r="R158" s="4"/>
      <c r="S158" s="4"/>
    </row>
    <row r="159" spans="1:19" x14ac:dyDescent="0.25">
      <c r="A159" t="str">
        <v>Federica Barbieri</v>
      </c>
      <c r="B159" s="2">
        <f>_xlfn.XLOOKUP(A159,datatable[[Name ]],datatable[Salary $ (Yearly)])</f>
        <v>122694</v>
      </c>
      <c r="R159" s="4"/>
      <c r="S159" s="4"/>
    </row>
    <row r="160" spans="1:19" x14ac:dyDescent="0.25">
      <c r="A160" t="str">
        <v>Federica De Luca</v>
      </c>
      <c r="B160" s="2">
        <f>_xlfn.XLOOKUP(A160,datatable[[Name ]],datatable[Salary $ (Yearly)])</f>
        <v>232862</v>
      </c>
      <c r="R160" s="4"/>
      <c r="S160" s="4"/>
    </row>
    <row r="161" spans="1:19" x14ac:dyDescent="0.25">
      <c r="A161" t="str">
        <v>Federico Bianchi</v>
      </c>
      <c r="B161" s="2">
        <f>_xlfn.XLOOKUP(A161,datatable[[Name ]],datatable[Salary $ (Yearly)])</f>
        <v>197410</v>
      </c>
      <c r="R161" s="4"/>
      <c r="S161" s="4"/>
    </row>
    <row r="162" spans="1:19" x14ac:dyDescent="0.25">
      <c r="A162" t="str">
        <v>Federico D'Amico</v>
      </c>
      <c r="B162" s="2">
        <f>_xlfn.XLOOKUP(A162,datatable[[Name ]],datatable[Salary $ (Yearly)])</f>
        <v>274837</v>
      </c>
      <c r="R162" s="4"/>
      <c r="S162" s="4"/>
    </row>
    <row r="163" spans="1:19" x14ac:dyDescent="0.25">
      <c r="A163" t="str">
        <v>Federico Lombardi</v>
      </c>
      <c r="B163" s="2">
        <f>_xlfn.XLOOKUP(A163,datatable[[Name ]],datatable[Salary $ (Yearly)])</f>
        <v>256222</v>
      </c>
      <c r="R163" s="4"/>
      <c r="S163" s="4"/>
    </row>
    <row r="164" spans="1:19" x14ac:dyDescent="0.25">
      <c r="A164" t="str">
        <v>Federico Pinto</v>
      </c>
      <c r="B164" s="2">
        <f>_xlfn.XLOOKUP(A164,datatable[[Name ]],datatable[Salary $ (Yearly)])</f>
        <v>64431</v>
      </c>
      <c r="R164" s="4"/>
      <c r="S164" s="4"/>
    </row>
    <row r="165" spans="1:19" x14ac:dyDescent="0.25">
      <c r="A165" t="str">
        <v>Felix Fischer</v>
      </c>
      <c r="B165" s="2">
        <f>_xlfn.XLOOKUP(A165,datatable[[Name ]],datatable[Salary $ (Yearly)])</f>
        <v>63580</v>
      </c>
      <c r="R165" s="4"/>
      <c r="S165" s="4"/>
    </row>
    <row r="166" spans="1:19" x14ac:dyDescent="0.25">
      <c r="A166" t="str">
        <v>Filippo Esposito</v>
      </c>
      <c r="B166" s="2">
        <f>_xlfn.XLOOKUP(A166,datatable[[Name ]],datatable[Salary $ (Yearly)])</f>
        <v>145739</v>
      </c>
      <c r="R166" s="4"/>
      <c r="S166" s="4"/>
    </row>
    <row r="167" spans="1:19" x14ac:dyDescent="0.25">
      <c r="A167" t="str">
        <v>Fırat Alkan</v>
      </c>
      <c r="B167" s="2">
        <f>_xlfn.XLOOKUP(A167,datatable[[Name ]],datatable[Salary $ (Yearly)])</f>
        <v>272572</v>
      </c>
      <c r="R167" s="4"/>
      <c r="S167" s="4"/>
    </row>
    <row r="168" spans="1:19" x14ac:dyDescent="0.25">
      <c r="A168" t="str">
        <v>Francesca Coppola</v>
      </c>
      <c r="B168" s="2">
        <f>_xlfn.XLOOKUP(A168,datatable[[Name ]],datatable[Salary $ (Yearly)])</f>
        <v>135081</v>
      </c>
      <c r="R168" s="4"/>
      <c r="S168" s="4"/>
    </row>
    <row r="169" spans="1:19" x14ac:dyDescent="0.25">
      <c r="A169" t="str">
        <v>Francesca Neri</v>
      </c>
      <c r="B169" s="2">
        <f>_xlfn.XLOOKUP(A169,datatable[[Name ]],datatable[Salary $ (Yearly)])</f>
        <v>249296</v>
      </c>
      <c r="R169" s="4"/>
      <c r="S169" s="4"/>
    </row>
    <row r="170" spans="1:19" x14ac:dyDescent="0.25">
      <c r="A170" t="str">
        <v>Francesca Rizzo</v>
      </c>
      <c r="B170" s="2">
        <f>_xlfn.XLOOKUP(A170,datatable[[Name ]],datatable[Salary $ (Yearly)])</f>
        <v>256906</v>
      </c>
      <c r="R170" s="4"/>
      <c r="S170" s="4"/>
    </row>
    <row r="171" spans="1:19" x14ac:dyDescent="0.25">
      <c r="A171" t="str">
        <v>Francesco Conte</v>
      </c>
      <c r="B171" s="2">
        <f>_xlfn.XLOOKUP(A171,datatable[[Name ]],datatable[Salary $ (Yearly)])</f>
        <v>192175</v>
      </c>
      <c r="R171" s="4"/>
      <c r="S171" s="4"/>
    </row>
    <row r="172" spans="1:19" x14ac:dyDescent="0.25">
      <c r="A172" t="str">
        <v>Francesco Coppola</v>
      </c>
      <c r="B172" s="2">
        <f>_xlfn.XLOOKUP(A172,datatable[[Name ]],datatable[Salary $ (Yearly)])</f>
        <v>195631</v>
      </c>
      <c r="R172" s="4"/>
      <c r="S172" s="4"/>
    </row>
    <row r="173" spans="1:19" x14ac:dyDescent="0.25">
      <c r="A173" t="str">
        <v>Francesco Leone</v>
      </c>
      <c r="B173" s="2">
        <f>_xlfn.XLOOKUP(A173,datatable[[Name ]],datatable[Salary $ (Yearly)])</f>
        <v>186108</v>
      </c>
      <c r="R173" s="4"/>
      <c r="S173" s="4"/>
    </row>
    <row r="174" spans="1:19" x14ac:dyDescent="0.25">
      <c r="A174" t="str">
        <v>Francesco Marchetti</v>
      </c>
      <c r="B174" s="2">
        <f>_xlfn.XLOOKUP(A174,datatable[[Name ]],datatable[Salary $ (Yearly)])</f>
        <v>271138</v>
      </c>
      <c r="R174" s="4"/>
      <c r="S174" s="4"/>
    </row>
    <row r="175" spans="1:19" x14ac:dyDescent="0.25">
      <c r="A175" t="str">
        <v>Gabriele Koch</v>
      </c>
      <c r="B175" s="2">
        <f>_xlfn.XLOOKUP(A175,datatable[[Name ]],datatable[Salary $ (Yearly)])</f>
        <v>263916</v>
      </c>
      <c r="R175" s="4"/>
      <c r="S175" s="4"/>
    </row>
    <row r="176" spans="1:19" x14ac:dyDescent="0.25">
      <c r="A176" t="str">
        <v>Gabriele Martini</v>
      </c>
      <c r="B176" s="2">
        <f>_xlfn.XLOOKUP(A176,datatable[[Name ]],datatable[Salary $ (Yearly)])</f>
        <v>72047</v>
      </c>
      <c r="R176" s="4"/>
      <c r="S176" s="4"/>
    </row>
    <row r="177" spans="1:19" x14ac:dyDescent="0.25">
      <c r="A177" t="str">
        <v>Giacomo Ferrari</v>
      </c>
      <c r="B177" s="2">
        <f>_xlfn.XLOOKUP(A177,datatable[[Name ]],datatable[Salary $ (Yearly)])</f>
        <v>184097</v>
      </c>
      <c r="R177" s="4"/>
      <c r="S177" s="4"/>
    </row>
    <row r="178" spans="1:19" x14ac:dyDescent="0.25">
      <c r="A178" t="str">
        <v>Giacomo Rizzo</v>
      </c>
      <c r="B178" s="2">
        <f>_xlfn.XLOOKUP(A178,datatable[[Name ]],datatable[Salary $ (Yearly)])</f>
        <v>239174</v>
      </c>
      <c r="R178" s="4"/>
      <c r="S178" s="4"/>
    </row>
    <row r="179" spans="1:19" x14ac:dyDescent="0.25">
      <c r="A179" t="str">
        <v>Giacomo Russo</v>
      </c>
      <c r="B179" s="2">
        <f>_xlfn.XLOOKUP(A179,datatable[[Name ]],datatable[Salary $ (Yearly)])</f>
        <v>237225</v>
      </c>
      <c r="R179" s="4"/>
      <c r="S179" s="4"/>
    </row>
    <row r="180" spans="1:19" x14ac:dyDescent="0.25">
      <c r="A180" t="str">
        <v>Gianluca Bernardi</v>
      </c>
      <c r="B180" s="2">
        <f>_xlfn.XLOOKUP(A180,datatable[[Name ]],datatable[Salary $ (Yearly)])</f>
        <v>267952</v>
      </c>
      <c r="R180" s="4"/>
      <c r="S180" s="4"/>
    </row>
    <row r="181" spans="1:19" x14ac:dyDescent="0.25">
      <c r="A181" t="str">
        <v>Gianluca Coppola</v>
      </c>
      <c r="B181" s="2">
        <f>_xlfn.XLOOKUP(A181,datatable[[Name ]],datatable[Salary $ (Yearly)])</f>
        <v>108516</v>
      </c>
      <c r="R181" s="4"/>
      <c r="S181" s="4"/>
    </row>
    <row r="182" spans="1:19" x14ac:dyDescent="0.25">
      <c r="A182" t="str">
        <v>Gianluca Ferrari</v>
      </c>
      <c r="B182" s="2">
        <f>_xlfn.XLOOKUP(A182,datatable[[Name ]],datatable[Salary $ (Yearly)])</f>
        <v>109660</v>
      </c>
      <c r="R182" s="4"/>
      <c r="S182" s="4"/>
    </row>
    <row r="183" spans="1:19" x14ac:dyDescent="0.25">
      <c r="A183" t="str">
        <v>Gianluca Vitale</v>
      </c>
      <c r="B183" s="2">
        <f>_xlfn.XLOOKUP(A183,datatable[[Name ]],datatable[Salary $ (Yearly)])</f>
        <v>223268</v>
      </c>
      <c r="R183" s="4"/>
      <c r="S183" s="4"/>
    </row>
    <row r="184" spans="1:19" x14ac:dyDescent="0.25">
      <c r="A184" t="str">
        <v>Giorgia Bernardi</v>
      </c>
      <c r="B184" s="2">
        <f>_xlfn.XLOOKUP(A184,datatable[[Name ]],datatable[Salary $ (Yearly)])</f>
        <v>190468</v>
      </c>
      <c r="R184" s="4"/>
      <c r="S184" s="4"/>
    </row>
    <row r="185" spans="1:19" x14ac:dyDescent="0.25">
      <c r="A185" t="str">
        <v>Giorgia Fiore</v>
      </c>
      <c r="B185" s="2">
        <f>_xlfn.XLOOKUP(A185,datatable[[Name ]],datatable[Salary $ (Yearly)])</f>
        <v>79003</v>
      </c>
      <c r="R185" s="4"/>
      <c r="S185" s="4"/>
    </row>
    <row r="186" spans="1:19" x14ac:dyDescent="0.25">
      <c r="A186" t="str">
        <v>Giorgio Barbieri</v>
      </c>
      <c r="B186" s="2">
        <f>_xlfn.XLOOKUP(A186,datatable[[Name ]],datatable[Salary $ (Yearly)])</f>
        <v>96837</v>
      </c>
      <c r="R186" s="4"/>
      <c r="S186" s="4"/>
    </row>
    <row r="187" spans="1:19" x14ac:dyDescent="0.25">
      <c r="A187" t="str">
        <v>Giorgio Gruber</v>
      </c>
      <c r="B187" s="2">
        <f>_xlfn.XLOOKUP(A187,datatable[[Name ]],datatable[Salary $ (Yearly)])</f>
        <v>237432</v>
      </c>
      <c r="R187" s="4"/>
      <c r="S187" s="4"/>
    </row>
    <row r="188" spans="1:19" x14ac:dyDescent="0.25">
      <c r="A188" t="str">
        <v>Giorgio Marini</v>
      </c>
      <c r="B188" s="2">
        <f>_xlfn.XLOOKUP(A188,datatable[[Name ]],datatable[Salary $ (Yearly)])</f>
        <v>120724</v>
      </c>
      <c r="R188" s="4"/>
      <c r="S188" s="4"/>
    </row>
    <row r="189" spans="1:19" x14ac:dyDescent="0.25">
      <c r="A189" t="str">
        <v>Giovanna Marini</v>
      </c>
      <c r="B189" s="2">
        <f>_xlfn.XLOOKUP(A189,datatable[[Name ]],datatable[Salary $ (Yearly)])</f>
        <v>196764</v>
      </c>
      <c r="R189" s="4"/>
      <c r="S189" s="4"/>
    </row>
    <row r="190" spans="1:19" x14ac:dyDescent="0.25">
      <c r="A190" t="str">
        <v>Giovanni Barbieri</v>
      </c>
      <c r="B190" s="2">
        <f>_xlfn.XLOOKUP(A190,datatable[[Name ]],datatable[Salary $ (Yearly)])</f>
        <v>223209</v>
      </c>
      <c r="R190" s="4"/>
      <c r="S190" s="4"/>
    </row>
    <row r="191" spans="1:19" x14ac:dyDescent="0.25">
      <c r="A191" t="str">
        <v>Giovanni Bernardi</v>
      </c>
      <c r="B191" s="2">
        <f>_xlfn.XLOOKUP(A191,datatable[[Name ]],datatable[Salary $ (Yearly)])</f>
        <v>92829</v>
      </c>
      <c r="R191" s="4"/>
      <c r="S191" s="4"/>
    </row>
    <row r="192" spans="1:19" x14ac:dyDescent="0.25">
      <c r="A192" t="str">
        <v>Giovanni Ferreira</v>
      </c>
      <c r="B192" s="2">
        <f>_xlfn.XLOOKUP(A192,datatable[[Name ]],datatable[Salary $ (Yearly)])</f>
        <v>192047</v>
      </c>
      <c r="R192" s="4"/>
      <c r="S192" s="4"/>
    </row>
    <row r="193" spans="1:19" x14ac:dyDescent="0.25">
      <c r="A193" t="str">
        <v>Giovanni Pinto</v>
      </c>
      <c r="B193" s="2">
        <f>_xlfn.XLOOKUP(A193,datatable[[Name ]],datatable[Salary $ (Yearly)])</f>
        <v>243288</v>
      </c>
      <c r="R193" s="4"/>
      <c r="S193" s="4"/>
    </row>
    <row r="194" spans="1:19" x14ac:dyDescent="0.25">
      <c r="A194" t="str">
        <v>Giovanni Rossi</v>
      </c>
      <c r="B194" s="2">
        <f>_xlfn.XLOOKUP(A194,datatable[[Name ]],datatable[Salary $ (Yearly)])</f>
        <v>102560</v>
      </c>
      <c r="R194" s="4"/>
      <c r="S194" s="4"/>
    </row>
    <row r="195" spans="1:19" x14ac:dyDescent="0.25">
      <c r="A195" t="str">
        <v>Giovanni Russo</v>
      </c>
      <c r="B195" s="2">
        <f>_xlfn.XLOOKUP(A195,datatable[[Name ]],datatable[Salary $ (Yearly)])</f>
        <v>116805</v>
      </c>
      <c r="R195" s="4"/>
      <c r="S195" s="4"/>
    </row>
    <row r="196" spans="1:19" x14ac:dyDescent="0.25">
      <c r="A196" t="str">
        <v>Giulia D'Amico</v>
      </c>
      <c r="B196" s="2">
        <f>_xlfn.XLOOKUP(A196,datatable[[Name ]],datatable[Salary $ (Yearly)])</f>
        <v>231954</v>
      </c>
      <c r="R196" s="4"/>
      <c r="S196" s="4"/>
    </row>
    <row r="197" spans="1:19" x14ac:dyDescent="0.25">
      <c r="A197" t="str">
        <v>Giulia Ferreira</v>
      </c>
      <c r="B197" s="2">
        <f>_xlfn.XLOOKUP(A197,datatable[[Name ]],datatable[Salary $ (Yearly)])</f>
        <v>257825</v>
      </c>
      <c r="R197" s="4"/>
      <c r="S197" s="4"/>
    </row>
    <row r="198" spans="1:19" x14ac:dyDescent="0.25">
      <c r="A198" t="str">
        <v>Giulia Lombardi</v>
      </c>
      <c r="B198" s="2">
        <f>_xlfn.XLOOKUP(A198,datatable[[Name ]],datatable[Salary $ (Yearly)])</f>
        <v>180238</v>
      </c>
      <c r="R198" s="4"/>
      <c r="S198" s="4"/>
    </row>
    <row r="199" spans="1:19" x14ac:dyDescent="0.25">
      <c r="A199" t="str">
        <v>Giulia Moretti</v>
      </c>
      <c r="B199" s="2">
        <f>_xlfn.XLOOKUP(A199,datatable[[Name ]],datatable[Salary $ (Yearly)])</f>
        <v>269833</v>
      </c>
      <c r="R199" s="4"/>
      <c r="S199" s="4"/>
    </row>
    <row r="200" spans="1:19" x14ac:dyDescent="0.25">
      <c r="A200" t="str">
        <v>Giuseppe Lombardi</v>
      </c>
      <c r="B200" s="2">
        <f>_xlfn.XLOOKUP(A200,datatable[[Name ]],datatable[Salary $ (Yearly)])</f>
        <v>230855</v>
      </c>
      <c r="R200" s="4"/>
      <c r="S200" s="4"/>
    </row>
    <row r="201" spans="1:19" x14ac:dyDescent="0.25">
      <c r="A201" t="str">
        <v>Giuseppe Marino</v>
      </c>
      <c r="B201" s="2">
        <f>_xlfn.XLOOKUP(A201,datatable[[Name ]],datatable[Salary $ (Yearly)])</f>
        <v>241685</v>
      </c>
      <c r="R201" s="4"/>
      <c r="S201" s="4"/>
    </row>
    <row r="202" spans="1:19" x14ac:dyDescent="0.25">
      <c r="A202" t="str">
        <v>Gizem Yıldırım</v>
      </c>
      <c r="B202" s="2">
        <f>_xlfn.XLOOKUP(A202,datatable[[Name ]],datatable[Salary $ (Yearly)])</f>
        <v>79204</v>
      </c>
      <c r="R202" s="4"/>
      <c r="S202" s="4"/>
    </row>
    <row r="203" spans="1:19" x14ac:dyDescent="0.25">
      <c r="A203" t="str">
        <v>Gözde Yıldız</v>
      </c>
      <c r="B203" s="2">
        <f>_xlfn.XLOOKUP(A203,datatable[[Name ]],datatable[Salary $ (Yearly)])</f>
        <v>200025</v>
      </c>
      <c r="R203" s="4"/>
      <c r="S203" s="4"/>
    </row>
    <row r="204" spans="1:19" x14ac:dyDescent="0.25">
      <c r="A204" t="str">
        <v>Gözde Yılmaz</v>
      </c>
      <c r="B204" s="2">
        <f>_xlfn.XLOOKUP(A204,datatable[[Name ]],datatable[Salary $ (Yearly)])</f>
        <v>246617</v>
      </c>
      <c r="R204" s="4"/>
      <c r="S204" s="4"/>
    </row>
    <row r="205" spans="1:19" x14ac:dyDescent="0.25">
      <c r="A205" t="str">
        <v>Greta Rossi</v>
      </c>
      <c r="B205" s="2">
        <f>_xlfn.XLOOKUP(A205,datatable[[Name ]],datatable[Salary $ (Yearly)])</f>
        <v>274149</v>
      </c>
      <c r="R205" s="4"/>
      <c r="S205" s="4"/>
    </row>
    <row r="206" spans="1:19" x14ac:dyDescent="0.25">
      <c r="A206" t="str">
        <v>Gülşah Kaya</v>
      </c>
      <c r="B206" s="2">
        <f>_xlfn.XLOOKUP(A206,datatable[[Name ]],datatable[Salary $ (Yearly)])</f>
        <v>271851</v>
      </c>
      <c r="R206" s="4"/>
      <c r="S206" s="4"/>
    </row>
    <row r="207" spans="1:19" x14ac:dyDescent="0.25">
      <c r="A207" t="str">
        <v>Hatice Gürbaşı</v>
      </c>
      <c r="B207" s="2">
        <f>_xlfn.XLOOKUP(A207,datatable[[Name ]],datatable[Salary $ (Yearly)])</f>
        <v>117613</v>
      </c>
      <c r="R207" s="4"/>
      <c r="S207" s="4"/>
    </row>
    <row r="208" spans="1:19" x14ac:dyDescent="0.25">
      <c r="A208" t="str">
        <v>Hüseyin Aydın</v>
      </c>
      <c r="B208" s="2">
        <f>_xlfn.XLOOKUP(A208,datatable[[Name ]],datatable[Salary $ (Yearly)])</f>
        <v>190382</v>
      </c>
      <c r="R208" s="4"/>
      <c r="S208" s="4"/>
    </row>
    <row r="209" spans="1:19" x14ac:dyDescent="0.25">
      <c r="A209" t="str">
        <v>İbrahim Yıldız</v>
      </c>
      <c r="B209" s="2">
        <f>_xlfn.XLOOKUP(A209,datatable[[Name ]],datatable[Salary $ (Yearly)])</f>
        <v>204698</v>
      </c>
      <c r="R209" s="4"/>
      <c r="S209" s="4"/>
    </row>
    <row r="210" spans="1:19" x14ac:dyDescent="0.25">
      <c r="A210" t="str">
        <v>Igor Smirnov</v>
      </c>
      <c r="B210" s="2">
        <f>_xlfn.XLOOKUP(A210,datatable[[Name ]],datatable[Salary $ (Yearly)])</f>
        <v>228460</v>
      </c>
      <c r="R210" s="4"/>
      <c r="S210" s="4"/>
    </row>
    <row r="211" spans="1:19" x14ac:dyDescent="0.25">
      <c r="A211" t="str">
        <v>Igor Sokolov</v>
      </c>
      <c r="B211" s="2">
        <f>_xlfn.XLOOKUP(A211,datatable[[Name ]],datatable[Salary $ (Yearly)])</f>
        <v>145716</v>
      </c>
      <c r="R211" s="4"/>
      <c r="S211" s="4"/>
    </row>
    <row r="212" spans="1:19" x14ac:dyDescent="0.25">
      <c r="A212" t="str">
        <v>İlayda Yıldız</v>
      </c>
      <c r="B212" s="2">
        <f>_xlfn.XLOOKUP(A212,datatable[[Name ]],datatable[Salary $ (Yearly)])</f>
        <v>100928</v>
      </c>
      <c r="R212" s="4"/>
      <c r="S212" s="4"/>
    </row>
    <row r="213" spans="1:19" x14ac:dyDescent="0.25">
      <c r="A213" t="str">
        <v>İpek Kaya</v>
      </c>
      <c r="B213" s="2">
        <f>_xlfn.XLOOKUP(A213,datatable[[Name ]],datatable[Salary $ (Yearly)])</f>
        <v>181194</v>
      </c>
      <c r="R213" s="4"/>
      <c r="S213" s="4"/>
    </row>
    <row r="214" spans="1:19" x14ac:dyDescent="0.25">
      <c r="A214" t="str">
        <v>İrem Kaya</v>
      </c>
      <c r="B214" s="2">
        <f>_xlfn.XLOOKUP(A214,datatable[[Name ]],datatable[Salary $ (Yearly)])</f>
        <v>197923</v>
      </c>
      <c r="R214" s="4"/>
      <c r="S214" s="4"/>
    </row>
    <row r="215" spans="1:19" x14ac:dyDescent="0.25">
      <c r="A215" t="str">
        <v>Irina Kuznetsova</v>
      </c>
      <c r="B215" s="2">
        <f>_xlfn.XLOOKUP(A215,datatable[[Name ]],datatable[Salary $ (Yearly)])</f>
        <v>198950</v>
      </c>
      <c r="R215" s="4"/>
      <c r="S215" s="4"/>
    </row>
    <row r="216" spans="1:19" x14ac:dyDescent="0.25">
      <c r="A216" t="str">
        <v>Irina Petrova</v>
      </c>
      <c r="B216" s="2">
        <f>_xlfn.XLOOKUP(A216,datatable[[Name ]],datatable[Salary $ (Yearly)])</f>
        <v>238338</v>
      </c>
      <c r="R216" s="4"/>
      <c r="S216" s="4"/>
    </row>
    <row r="217" spans="1:19" x14ac:dyDescent="0.25">
      <c r="A217" t="str">
        <v>Irina Svetlova</v>
      </c>
      <c r="B217" s="2">
        <f>_xlfn.XLOOKUP(A217,datatable[[Name ]],datatable[Salary $ (Yearly)])</f>
        <v>75325</v>
      </c>
      <c r="R217" s="4"/>
      <c r="S217" s="4"/>
    </row>
    <row r="218" spans="1:19" x14ac:dyDescent="0.25">
      <c r="A218" t="str">
        <v>İsmail Çelik</v>
      </c>
      <c r="B218" s="2">
        <f>_xlfn.XLOOKUP(A218,datatable[[Name ]],datatable[Salary $ (Yearly)])</f>
        <v>72954</v>
      </c>
      <c r="R218" s="4"/>
      <c r="S218" s="4"/>
    </row>
    <row r="219" spans="1:19" x14ac:dyDescent="0.25">
      <c r="A219" t="str">
        <v>İzzet Ahmet</v>
      </c>
      <c r="B219" s="2">
        <f>_xlfn.XLOOKUP(A219,datatable[[Name ]],datatable[Salary $ (Yearly)])</f>
        <v>132193</v>
      </c>
      <c r="R219" s="4"/>
      <c r="S219" s="4"/>
    </row>
    <row r="220" spans="1:19" x14ac:dyDescent="0.25">
      <c r="A220" t="str">
        <v>Jens Müller</v>
      </c>
      <c r="B220" s="2">
        <f>_xlfn.XLOOKUP(A220,datatable[[Name ]],datatable[Salary $ (Yearly)])</f>
        <v>115432</v>
      </c>
      <c r="R220" s="4"/>
      <c r="S220" s="4"/>
    </row>
    <row r="221" spans="1:19" x14ac:dyDescent="0.25">
      <c r="A221" t="str">
        <v>John Smith</v>
      </c>
      <c r="B221" s="2">
        <f>_xlfn.XLOOKUP(A221,datatable[[Name ]],datatable[Salary $ (Yearly)])</f>
        <v>141193</v>
      </c>
      <c r="R221" s="4"/>
      <c r="S221" s="4"/>
    </row>
    <row r="222" spans="1:19" x14ac:dyDescent="0.25">
      <c r="A222" t="str">
        <v>Julia Wagner</v>
      </c>
      <c r="B222" s="2">
        <f>_xlfn.XLOOKUP(A222,datatable[[Name ]],datatable[Salary $ (Yearly)])</f>
        <v>292961</v>
      </c>
      <c r="R222" s="4"/>
      <c r="S222" s="4"/>
    </row>
    <row r="223" spans="1:19" x14ac:dyDescent="0.25">
      <c r="A223" t="str">
        <v>Kemal Aydın</v>
      </c>
      <c r="B223" s="2">
        <f>_xlfn.XLOOKUP(A223,datatable[[Name ]],datatable[Salary $ (Yearly)])</f>
        <v>69003</v>
      </c>
      <c r="R223" s="4"/>
      <c r="S223" s="4"/>
    </row>
    <row r="224" spans="1:19" x14ac:dyDescent="0.25">
      <c r="A224" t="str">
        <v>Kemal Yıldırım</v>
      </c>
      <c r="B224" s="2">
        <f>_xlfn.XLOOKUP(A224,datatable[[Name ]],datatable[Salary $ (Yearly)])</f>
        <v>222150</v>
      </c>
      <c r="R224" s="4"/>
      <c r="S224" s="4"/>
    </row>
    <row r="225" spans="1:19" x14ac:dyDescent="0.25">
      <c r="A225" t="str">
        <v>Klara Schneider</v>
      </c>
      <c r="B225" s="2">
        <f>_xlfn.XLOOKUP(A225,datatable[[Name ]],datatable[Salary $ (Yearly)])</f>
        <v>320142</v>
      </c>
      <c r="R225" s="4"/>
      <c r="S225" s="4"/>
    </row>
    <row r="226" spans="1:19" x14ac:dyDescent="0.25">
      <c r="A226" t="str">
        <v>Koray Aydın</v>
      </c>
      <c r="B226" s="2">
        <f>_xlfn.XLOOKUP(A226,datatable[[Name ]],datatable[Salary $ (Yearly)])</f>
        <v>82364</v>
      </c>
      <c r="R226" s="4"/>
      <c r="S226" s="4"/>
    </row>
    <row r="227" spans="1:19" x14ac:dyDescent="0.25">
      <c r="A227" t="str">
        <v>Ksenia Ivanova</v>
      </c>
      <c r="B227" s="2">
        <f>_xlfn.XLOOKUP(A227,datatable[[Name ]],datatable[Salary $ (Yearly)])</f>
        <v>126080</v>
      </c>
      <c r="R227" s="4"/>
      <c r="S227" s="4"/>
    </row>
    <row r="228" spans="1:19" x14ac:dyDescent="0.25">
      <c r="A228" t="str">
        <v>Lara Schmidt</v>
      </c>
      <c r="B228" s="2">
        <f>_xlfn.XLOOKUP(A228,datatable[[Name ]],datatable[Salary $ (Yearly)])</f>
        <v>142641</v>
      </c>
      <c r="R228" s="4"/>
      <c r="S228" s="4"/>
    </row>
    <row r="229" spans="1:19" x14ac:dyDescent="0.25">
      <c r="A229" t="str">
        <v>Lara Weber</v>
      </c>
      <c r="B229" s="2">
        <f>_xlfn.XLOOKUP(A229,datatable[[Name ]],datatable[Salary $ (Yearly)])</f>
        <v>236750</v>
      </c>
      <c r="R229" s="4"/>
      <c r="S229" s="4"/>
    </row>
    <row r="230" spans="1:19" x14ac:dyDescent="0.25">
      <c r="A230" t="str">
        <v>Larissa Smirnova</v>
      </c>
      <c r="B230" s="2">
        <f>_xlfn.XLOOKUP(A230,datatable[[Name ]],datatable[Salary $ (Yearly)])</f>
        <v>328128</v>
      </c>
      <c r="R230" s="4"/>
      <c r="S230" s="4"/>
    </row>
    <row r="231" spans="1:19" x14ac:dyDescent="0.25">
      <c r="A231" t="str">
        <v>Laura García</v>
      </c>
      <c r="B231" s="2">
        <f>_xlfn.XLOOKUP(A231,datatable[[Name ]],datatable[Salary $ (Yearly)])</f>
        <v>83474</v>
      </c>
      <c r="R231" s="4"/>
      <c r="S231" s="4"/>
    </row>
    <row r="232" spans="1:19" x14ac:dyDescent="0.25">
      <c r="A232" t="str">
        <v>Lena Schneider</v>
      </c>
      <c r="B232" s="2">
        <f>_xlfn.XLOOKUP(A232,datatable[[Name ]],datatable[Salary $ (Yearly)])</f>
        <v>115851</v>
      </c>
      <c r="R232" s="4"/>
      <c r="S232" s="4"/>
    </row>
    <row r="233" spans="1:19" x14ac:dyDescent="0.25">
      <c r="A233" t="str">
        <v>Leonardo Ferrari</v>
      </c>
      <c r="B233" s="2">
        <f>_xlfn.XLOOKUP(A233,datatable[[Name ]],datatable[Salary $ (Yearly)])</f>
        <v>244139</v>
      </c>
      <c r="R233" s="4"/>
      <c r="S233" s="4"/>
    </row>
    <row r="234" spans="1:19" x14ac:dyDescent="0.25">
      <c r="A234" t="str">
        <v>Leonardo Gruber</v>
      </c>
      <c r="B234" s="2">
        <f>_xlfn.XLOOKUP(A234,datatable[[Name ]],datatable[Salary $ (Yearly)])</f>
        <v>189342</v>
      </c>
      <c r="R234" s="4"/>
      <c r="S234" s="4"/>
    </row>
    <row r="235" spans="1:19" x14ac:dyDescent="0.25">
      <c r="A235" t="str">
        <v>Leonardo Rizzo</v>
      </c>
      <c r="B235" s="2">
        <f>_xlfn.XLOOKUP(A235,datatable[[Name ]],datatable[Salary $ (Yearly)])</f>
        <v>75752</v>
      </c>
      <c r="R235" s="4"/>
      <c r="S235" s="4"/>
    </row>
    <row r="236" spans="1:19" x14ac:dyDescent="0.25">
      <c r="A236" t="str">
        <v>Levent Eren</v>
      </c>
      <c r="B236" s="2">
        <f>_xlfn.XLOOKUP(A236,datatable[[Name ]],datatable[Salary $ (Yearly)])</f>
        <v>280162</v>
      </c>
      <c r="R236" s="4"/>
      <c r="S236" s="4"/>
    </row>
    <row r="237" spans="1:19" x14ac:dyDescent="0.25">
      <c r="A237" t="str">
        <v>Leyla Yılmaz</v>
      </c>
      <c r="B237" s="2">
        <f>_xlfn.XLOOKUP(A237,datatable[[Name ]],datatable[Salary $ (Yearly)])</f>
        <v>239394</v>
      </c>
      <c r="R237" s="4"/>
      <c r="S237" s="4"/>
    </row>
    <row r="238" spans="1:19" x14ac:dyDescent="0.25">
      <c r="A238" t="str">
        <v>Lisa Müller</v>
      </c>
      <c r="B238" s="2">
        <f>_xlfn.XLOOKUP(A238,datatable[[Name ]],datatable[Salary $ (Yearly)])</f>
        <v>72790</v>
      </c>
      <c r="R238" s="4"/>
      <c r="S238" s="4"/>
    </row>
    <row r="239" spans="1:19" x14ac:dyDescent="0.25">
      <c r="A239" t="str">
        <v>Lorenzo Conte</v>
      </c>
      <c r="B239" s="2">
        <f>_xlfn.XLOOKUP(A239,datatable[[Name ]],datatable[Salary $ (Yearly)])</f>
        <v>255349</v>
      </c>
      <c r="R239" s="4"/>
      <c r="S239" s="4"/>
    </row>
    <row r="240" spans="1:19" x14ac:dyDescent="0.25">
      <c r="A240" t="str">
        <v>Lorenzo De Santis</v>
      </c>
      <c r="B240" s="2">
        <f>_xlfn.XLOOKUP(A240,datatable[[Name ]],datatable[Salary $ (Yearly)])</f>
        <v>242742</v>
      </c>
      <c r="R240" s="4"/>
      <c r="S240" s="4"/>
    </row>
    <row r="241" spans="1:19" x14ac:dyDescent="0.25">
      <c r="A241" t="str">
        <v>Lorenzo Marini</v>
      </c>
      <c r="B241" s="2">
        <f>_xlfn.XLOOKUP(A241,datatable[[Name ]],datatable[Salary $ (Yearly)])</f>
        <v>273816</v>
      </c>
      <c r="R241" s="4"/>
      <c r="S241" s="4"/>
    </row>
    <row r="242" spans="1:19" x14ac:dyDescent="0.25">
      <c r="A242" t="str">
        <v>Lorenzo Pellegrini</v>
      </c>
      <c r="B242" s="2">
        <f>_xlfn.XLOOKUP(A242,datatable[[Name ]],datatable[Salary $ (Yearly)])</f>
        <v>270976</v>
      </c>
      <c r="R242" s="4"/>
      <c r="S242" s="4"/>
    </row>
    <row r="243" spans="1:19" x14ac:dyDescent="0.25">
      <c r="A243" t="str">
        <v>Lorenzo Pinto</v>
      </c>
      <c r="B243" s="2">
        <f>_xlfn.XLOOKUP(A243,datatable[[Name ]],datatable[Salary $ (Yearly)])</f>
        <v>132843</v>
      </c>
      <c r="R243" s="4"/>
      <c r="S243" s="4"/>
    </row>
    <row r="244" spans="1:19" x14ac:dyDescent="0.25">
      <c r="A244" t="str">
        <v>Luca Bianchi</v>
      </c>
      <c r="B244" s="2">
        <f>_xlfn.XLOOKUP(A244,datatable[[Name ]],datatable[Salary $ (Yearly)])</f>
        <v>271368</v>
      </c>
      <c r="R244" s="4"/>
      <c r="S244" s="4"/>
    </row>
    <row r="245" spans="1:19" x14ac:dyDescent="0.25">
      <c r="A245" t="str">
        <v>Luca Marini</v>
      </c>
      <c r="B245" s="2">
        <f>_xlfn.XLOOKUP(A245,datatable[[Name ]],datatable[Salary $ (Yearly)])</f>
        <v>196692</v>
      </c>
      <c r="R245" s="4"/>
      <c r="S245" s="4"/>
    </row>
    <row r="246" spans="1:19" x14ac:dyDescent="0.25">
      <c r="A246" t="str">
        <v>Luca Ricci</v>
      </c>
      <c r="B246" s="2">
        <f>_xlfn.XLOOKUP(A246,datatable[[Name ]],datatable[Salary $ (Yearly)])</f>
        <v>190922</v>
      </c>
      <c r="R246" s="4"/>
      <c r="S246" s="4"/>
    </row>
    <row r="247" spans="1:19" x14ac:dyDescent="0.25">
      <c r="A247" t="str">
        <v>Luis Silva</v>
      </c>
      <c r="B247" s="2">
        <f>_xlfn.XLOOKUP(A247,datatable[[Name ]],datatable[Salary $ (Yearly)])</f>
        <v>298152</v>
      </c>
      <c r="R247" s="4"/>
      <c r="S247" s="4"/>
    </row>
    <row r="248" spans="1:19" x14ac:dyDescent="0.25">
      <c r="A248" t="str">
        <v>Lukas Wagner</v>
      </c>
      <c r="B248" s="2">
        <f>_xlfn.XLOOKUP(A248,datatable[[Name ]],datatable[Salary $ (Yearly)])</f>
        <v>61486</v>
      </c>
      <c r="R248" s="4"/>
      <c r="S248" s="4"/>
    </row>
    <row r="249" spans="1:19" x14ac:dyDescent="0.25">
      <c r="A249" t="str">
        <v>Marco Costa</v>
      </c>
      <c r="B249" s="2">
        <f>_xlfn.XLOOKUP(A249,datatable[[Name ]],datatable[Salary $ (Yearly)])</f>
        <v>74382</v>
      </c>
      <c r="R249" s="4"/>
      <c r="S249" s="4"/>
    </row>
    <row r="250" spans="1:19" x14ac:dyDescent="0.25">
      <c r="A250" t="str">
        <v>Marco Ferrari</v>
      </c>
      <c r="B250" s="2">
        <f>_xlfn.XLOOKUP(A250,datatable[[Name ]],datatable[Salary $ (Yearly)])</f>
        <v>186085</v>
      </c>
      <c r="R250" s="4"/>
      <c r="S250" s="4"/>
    </row>
    <row r="251" spans="1:19" x14ac:dyDescent="0.25">
      <c r="A251" t="str">
        <v>Marco Gruber</v>
      </c>
      <c r="B251" s="2">
        <f>_xlfn.XLOOKUP(A251,datatable[[Name ]],datatable[Salary $ (Yearly)])</f>
        <v>237922</v>
      </c>
      <c r="R251" s="4"/>
      <c r="S251" s="4"/>
    </row>
    <row r="252" spans="1:19" x14ac:dyDescent="0.25">
      <c r="A252" t="str">
        <v>Marco Marini</v>
      </c>
      <c r="B252" s="2">
        <f>_xlfn.XLOOKUP(A252,datatable[[Name ]],datatable[Salary $ (Yearly)])</f>
        <v>82021</v>
      </c>
      <c r="R252" s="4"/>
      <c r="S252" s="4"/>
    </row>
    <row r="253" spans="1:19" x14ac:dyDescent="0.25">
      <c r="A253" t="str">
        <v>Marco Sartori</v>
      </c>
      <c r="B253" s="2">
        <f>_xlfn.XLOOKUP(A253,datatable[[Name ]],datatable[Salary $ (Yearly)])</f>
        <v>136371</v>
      </c>
      <c r="R253" s="4"/>
      <c r="S253" s="4"/>
    </row>
    <row r="254" spans="1:19" x14ac:dyDescent="0.25">
      <c r="A254" t="str">
        <v>Maria Santos</v>
      </c>
      <c r="B254" s="2">
        <f>_xlfn.XLOOKUP(A254,datatable[[Name ]],datatable[Salary $ (Yearly)])</f>
        <v>255443</v>
      </c>
      <c r="R254" s="4"/>
      <c r="S254" s="4"/>
    </row>
    <row r="255" spans="1:19" x14ac:dyDescent="0.25">
      <c r="A255" t="str">
        <v>Marina Ivanova</v>
      </c>
      <c r="B255" s="2">
        <f>_xlfn.XLOOKUP(A255,datatable[[Name ]],datatable[Salary $ (Yearly)])</f>
        <v>263257</v>
      </c>
      <c r="R255" s="4"/>
      <c r="S255" s="4"/>
    </row>
    <row r="256" spans="1:19" x14ac:dyDescent="0.25">
      <c r="A256" t="str">
        <v>Marko Fischer</v>
      </c>
      <c r="B256" s="2">
        <f>_xlfn.XLOOKUP(A256,datatable[[Name ]],datatable[Salary $ (Yearly)])</f>
        <v>237686</v>
      </c>
      <c r="R256" s="4"/>
      <c r="S256" s="4"/>
    </row>
    <row r="257" spans="1:19" x14ac:dyDescent="0.25">
      <c r="A257" t="str">
        <v>Marta Kovač</v>
      </c>
      <c r="B257" s="2">
        <f>_xlfn.XLOOKUP(A257,datatable[[Name ]],datatable[Salary $ (Yearly)])</f>
        <v>129244</v>
      </c>
      <c r="R257" s="4"/>
      <c r="S257" s="4"/>
    </row>
    <row r="258" spans="1:19" x14ac:dyDescent="0.25">
      <c r="A258" t="str">
        <v>Marta Novak</v>
      </c>
      <c r="B258" s="2">
        <f>_xlfn.XLOOKUP(A258,datatable[[Name ]],datatable[Salary $ (Yearly)])</f>
        <v>61313</v>
      </c>
      <c r="R258" s="4"/>
      <c r="S258" s="4"/>
    </row>
    <row r="259" spans="1:19" x14ac:dyDescent="0.25">
      <c r="A259" t="str">
        <v>Martin Schmidt</v>
      </c>
      <c r="B259" s="2">
        <f>_xlfn.XLOOKUP(A259,datatable[[Name ]],datatable[Salary $ (Yearly)])</f>
        <v>245792</v>
      </c>
      <c r="R259" s="4"/>
      <c r="S259" s="4"/>
    </row>
    <row r="260" spans="1:19" x14ac:dyDescent="0.25">
      <c r="A260" t="str">
        <v>Martina Krüger</v>
      </c>
      <c r="B260" s="2">
        <f>_xlfn.XLOOKUP(A260,datatable[[Name ]],datatable[Salary $ (Yearly)])</f>
        <v>124656</v>
      </c>
      <c r="R260" s="4"/>
      <c r="S260" s="4"/>
    </row>
    <row r="261" spans="1:19" x14ac:dyDescent="0.25">
      <c r="A261" t="str">
        <v>Martina Rossi</v>
      </c>
      <c r="B261" s="2">
        <f>_xlfn.XLOOKUP(A261,datatable[[Name ]],datatable[Salary $ (Yearly)])</f>
        <v>139526</v>
      </c>
      <c r="R261" s="4"/>
      <c r="S261" s="4"/>
    </row>
    <row r="262" spans="1:19" x14ac:dyDescent="0.25">
      <c r="A262" t="str">
        <v>Matteo Bianchi</v>
      </c>
      <c r="B262" s="2">
        <f>_xlfn.XLOOKUP(A262,datatable[[Name ]],datatable[Salary $ (Yearly)])</f>
        <v>81738</v>
      </c>
      <c r="R262" s="4"/>
      <c r="S262" s="4"/>
    </row>
    <row r="263" spans="1:19" x14ac:dyDescent="0.25">
      <c r="A263" t="str">
        <v>Matteo Esposito</v>
      </c>
      <c r="B263" s="2">
        <f>_xlfn.XLOOKUP(A263,datatable[[Name ]],datatable[Salary $ (Yearly)])</f>
        <v>254644</v>
      </c>
      <c r="R263" s="4"/>
      <c r="S263" s="4"/>
    </row>
    <row r="264" spans="1:19" x14ac:dyDescent="0.25">
      <c r="A264" t="str">
        <v>Matteo Ferrari</v>
      </c>
      <c r="B264" s="2">
        <f>_xlfn.XLOOKUP(A264,datatable[[Name ]],datatable[Salary $ (Yearly)])</f>
        <v>145263</v>
      </c>
      <c r="R264" s="4"/>
      <c r="S264" s="4"/>
    </row>
    <row r="265" spans="1:19" x14ac:dyDescent="0.25">
      <c r="A265" t="str">
        <v>Matteo Moretti</v>
      </c>
      <c r="B265" s="2">
        <f>_xlfn.XLOOKUP(A265,datatable[[Name ]],datatable[Salary $ (Yearly)])</f>
        <v>239485</v>
      </c>
      <c r="R265" s="4"/>
      <c r="S265" s="4"/>
    </row>
    <row r="266" spans="1:19" x14ac:dyDescent="0.25">
      <c r="A266" t="str">
        <v>Matthias Schmidt</v>
      </c>
      <c r="B266" s="2">
        <f>_xlfn.XLOOKUP(A266,datatable[[Name ]],datatable[Salary $ (Yearly)])</f>
        <v>110091</v>
      </c>
      <c r="R266" s="4"/>
      <c r="S266" s="4"/>
    </row>
    <row r="267" spans="1:19" x14ac:dyDescent="0.25">
      <c r="A267" t="str">
        <v>Maxim Petrov</v>
      </c>
      <c r="B267" s="2">
        <f>_xlfn.XLOOKUP(A267,datatable[[Name ]],datatable[Salary $ (Yearly)])</f>
        <v>234369</v>
      </c>
      <c r="R267" s="4"/>
      <c r="S267" s="4"/>
    </row>
    <row r="268" spans="1:19" x14ac:dyDescent="0.25">
      <c r="A268" t="str">
        <v>Maximilian Fischer</v>
      </c>
      <c r="B268" s="2">
        <f>_xlfn.XLOOKUP(A268,datatable[[Name ]],datatable[Salary $ (Yearly)])</f>
        <v>240838</v>
      </c>
      <c r="R268" s="4"/>
      <c r="S268" s="4"/>
    </row>
    <row r="269" spans="1:19" x14ac:dyDescent="0.25">
      <c r="A269" t="str">
        <v>Mehmet Demir</v>
      </c>
      <c r="B269" s="2">
        <f>_xlfn.XLOOKUP(A269,datatable[[Name ]],datatable[Salary $ (Yearly)])</f>
        <v>114883</v>
      </c>
      <c r="R269" s="4"/>
      <c r="S269" s="4"/>
    </row>
    <row r="270" spans="1:19" x14ac:dyDescent="0.25">
      <c r="A270" t="str">
        <v>Mehmet Öztürk</v>
      </c>
      <c r="B270" s="2">
        <f>_xlfn.XLOOKUP(A270,datatable[[Name ]],datatable[Salary $ (Yearly)])</f>
        <v>107760</v>
      </c>
      <c r="R270" s="4"/>
      <c r="S270" s="4"/>
    </row>
    <row r="271" spans="1:19" x14ac:dyDescent="0.25">
      <c r="A271" t="str">
        <v>Mehmet Yıldırım</v>
      </c>
      <c r="B271" s="2">
        <f>_xlfn.XLOOKUP(A271,datatable[[Name ]],datatable[Salary $ (Yearly)])</f>
        <v>61829</v>
      </c>
      <c r="R271" s="4"/>
      <c r="S271" s="4"/>
    </row>
    <row r="272" spans="1:19" x14ac:dyDescent="0.25">
      <c r="A272" t="str">
        <v>Melike Yıldız</v>
      </c>
      <c r="B272" s="2">
        <f>_xlfn.XLOOKUP(A272,datatable[[Name ]],datatable[Salary $ (Yearly)])</f>
        <v>109896</v>
      </c>
      <c r="R272" s="4"/>
      <c r="S272" s="4"/>
    </row>
    <row r="273" spans="1:19" x14ac:dyDescent="0.25">
      <c r="A273" t="str">
        <v>Melis Avcı</v>
      </c>
      <c r="B273" s="2">
        <f>_xlfn.XLOOKUP(A273,datatable[[Name ]],datatable[Salary $ (Yearly)])</f>
        <v>282839</v>
      </c>
      <c r="R273" s="4"/>
      <c r="S273" s="4"/>
    </row>
    <row r="274" spans="1:19" x14ac:dyDescent="0.25">
      <c r="A274" t="str">
        <v>Melis Yılmaz</v>
      </c>
      <c r="B274" s="2">
        <f>_xlfn.XLOOKUP(A274,datatable[[Name ]],datatable[Salary $ (Yearly)])</f>
        <v>195113</v>
      </c>
      <c r="R274" s="4"/>
      <c r="S274" s="4"/>
    </row>
    <row r="275" spans="1:19" x14ac:dyDescent="0.25">
      <c r="A275" t="str">
        <v>Melisa Yılmaz</v>
      </c>
      <c r="B275" s="2">
        <f>_xlfn.XLOOKUP(A275,datatable[[Name ]],datatable[Salary $ (Yearly)])</f>
        <v>106817</v>
      </c>
      <c r="R275" s="4"/>
      <c r="S275" s="4"/>
    </row>
    <row r="276" spans="1:19" x14ac:dyDescent="0.25">
      <c r="A276" t="str">
        <v>Mert Aydın</v>
      </c>
      <c r="B276" s="2">
        <f>_xlfn.XLOOKUP(A276,datatable[[Name ]],datatable[Salary $ (Yearly)])</f>
        <v>132381</v>
      </c>
      <c r="R276" s="4"/>
      <c r="S276" s="4"/>
    </row>
    <row r="277" spans="1:19" x14ac:dyDescent="0.25">
      <c r="A277" t="str">
        <v>Mert Yılmaz</v>
      </c>
      <c r="B277" s="2">
        <f>_xlfn.XLOOKUP(A277,datatable[[Name ]],datatable[Salary $ (Yearly)])</f>
        <v>205075</v>
      </c>
      <c r="R277" s="4"/>
      <c r="S277" s="4"/>
    </row>
    <row r="278" spans="1:19" x14ac:dyDescent="0.25">
      <c r="A278" t="str">
        <v>Merve Yılmaz</v>
      </c>
      <c r="B278" s="2">
        <f>_xlfn.XLOOKUP(A278,datatable[[Name ]],datatable[Salary $ (Yearly)])</f>
        <v>231996</v>
      </c>
      <c r="R278" s="4"/>
      <c r="S278" s="4"/>
    </row>
    <row r="279" spans="1:19" x14ac:dyDescent="0.25">
      <c r="A279" t="str">
        <v>Meryem Kaya</v>
      </c>
      <c r="B279" s="2">
        <f>_xlfn.XLOOKUP(A279,datatable[[Name ]],datatable[Salary $ (Yearly)])</f>
        <v>274402</v>
      </c>
      <c r="R279" s="4"/>
      <c r="S279" s="4"/>
    </row>
    <row r="280" spans="1:19" x14ac:dyDescent="0.25">
      <c r="A280" t="str">
        <v>Michael Weber</v>
      </c>
      <c r="B280" s="2">
        <f>_xlfn.XLOOKUP(A280,datatable[[Name ]],datatable[Salary $ (Yearly)])</f>
        <v>93128</v>
      </c>
      <c r="R280" s="4"/>
      <c r="S280" s="4"/>
    </row>
    <row r="281" spans="1:19" x14ac:dyDescent="0.25">
      <c r="A281" t="str">
        <v>Miraç Kaya</v>
      </c>
      <c r="B281" s="2">
        <f>_xlfn.XLOOKUP(A281,datatable[[Name ]],datatable[Salary $ (Yearly)])</f>
        <v>118689</v>
      </c>
      <c r="R281" s="4"/>
      <c r="S281" s="4"/>
    </row>
    <row r="282" spans="1:19" x14ac:dyDescent="0.25">
      <c r="A282" t="str">
        <v>Mirko Novak</v>
      </c>
      <c r="B282" s="2">
        <f>_xlfn.XLOOKUP(A282,datatable[[Name ]],datatable[Salary $ (Yearly)])</f>
        <v>272461</v>
      </c>
      <c r="R282" s="4"/>
      <c r="S282" s="4"/>
    </row>
    <row r="283" spans="1:19" x14ac:dyDescent="0.25">
      <c r="A283" t="str">
        <v>Monika Schmidt</v>
      </c>
      <c r="B283" s="2">
        <f>_xlfn.XLOOKUP(A283,datatable[[Name ]],datatable[Salary $ (Yearly)])</f>
        <v>182057</v>
      </c>
      <c r="R283" s="4"/>
      <c r="S283" s="4"/>
    </row>
    <row r="284" spans="1:19" x14ac:dyDescent="0.25">
      <c r="A284" t="str">
        <v>Murat Aydın</v>
      </c>
      <c r="B284" s="2">
        <f>_xlfn.XLOOKUP(A284,datatable[[Name ]],datatable[Salary $ (Yearly)])</f>
        <v>87002</v>
      </c>
      <c r="R284" s="4"/>
      <c r="S284" s="4"/>
    </row>
    <row r="285" spans="1:19" x14ac:dyDescent="0.25">
      <c r="A285" t="str">
        <v>Murat Kaya</v>
      </c>
      <c r="B285" s="2">
        <f>_xlfn.XLOOKUP(A285,datatable[[Name ]],datatable[Salary $ (Yearly)])</f>
        <v>107328</v>
      </c>
      <c r="R285" s="4"/>
      <c r="S285" s="4"/>
    </row>
    <row r="286" spans="1:19" x14ac:dyDescent="0.25">
      <c r="A286" t="str">
        <v>Murat Yıldız</v>
      </c>
      <c r="B286" s="2">
        <f>_xlfn.XLOOKUP(A286,datatable[[Name ]],datatable[Salary $ (Yearly)])</f>
        <v>69293</v>
      </c>
      <c r="R286" s="4"/>
      <c r="S286" s="4"/>
    </row>
    <row r="287" spans="1:19" x14ac:dyDescent="0.25">
      <c r="A287" t="str">
        <v>Murat Yılmaz</v>
      </c>
      <c r="B287" s="2">
        <f>_xlfn.XLOOKUP(A287,datatable[[Name ]],datatable[Salary $ (Yearly)])</f>
        <v>81278</v>
      </c>
      <c r="R287" s="4"/>
      <c r="S287" s="4"/>
    </row>
    <row r="288" spans="1:19" x14ac:dyDescent="0.25">
      <c r="A288" t="str">
        <v>Mustafa Öztürk</v>
      </c>
      <c r="B288" s="2">
        <f>_xlfn.XLOOKUP(A288,datatable[[Name ]],datatable[Salary $ (Yearly)])</f>
        <v>296997</v>
      </c>
      <c r="R288" s="4"/>
      <c r="S288" s="4"/>
    </row>
    <row r="289" spans="1:19" x14ac:dyDescent="0.25">
      <c r="A289" t="str">
        <v>Nadia Petrović</v>
      </c>
      <c r="B289" s="2">
        <f>_xlfn.XLOOKUP(A289,datatable[[Name ]],datatable[Salary $ (Yearly)])</f>
        <v>192532</v>
      </c>
      <c r="R289" s="4"/>
      <c r="S289" s="4"/>
    </row>
    <row r="290" spans="1:19" x14ac:dyDescent="0.25">
      <c r="A290" t="str">
        <v>Nadia Rossi</v>
      </c>
      <c r="B290" s="2">
        <f>_xlfn.XLOOKUP(A290,datatable[[Name ]],datatable[Salary $ (Yearly)])</f>
        <v>226327</v>
      </c>
      <c r="R290" s="4"/>
      <c r="S290" s="4"/>
    </row>
    <row r="291" spans="1:19" x14ac:dyDescent="0.25">
      <c r="A291" t="str">
        <v>Nasip Ahmet</v>
      </c>
      <c r="B291" s="2">
        <f>_xlfn.XLOOKUP(A291,datatable[[Name ]],datatable[Salary $ (Yearly)])</f>
        <v>244660</v>
      </c>
      <c r="R291" s="4"/>
      <c r="S291" s="4"/>
    </row>
    <row r="292" spans="1:19" x14ac:dyDescent="0.25">
      <c r="A292" t="str">
        <v>Natalia Kuznetsova</v>
      </c>
      <c r="B292" s="2">
        <f>_xlfn.XLOOKUP(A292,datatable[[Name ]],datatable[Salary $ (Yearly)])</f>
        <v>232760</v>
      </c>
      <c r="R292" s="4"/>
      <c r="S292" s="4"/>
    </row>
    <row r="293" spans="1:19" x14ac:dyDescent="0.25">
      <c r="A293" t="str">
        <v>Natalya Ivanova</v>
      </c>
      <c r="B293" s="2">
        <f>_xlfn.XLOOKUP(A293,datatable[[Name ]],datatable[Salary $ (Yearly)])</f>
        <v>61901</v>
      </c>
      <c r="R293" s="4"/>
      <c r="S293" s="4"/>
    </row>
    <row r="294" spans="1:19" x14ac:dyDescent="0.25">
      <c r="A294" t="str">
        <v>Nazlı Yıldırım</v>
      </c>
      <c r="B294" s="2">
        <f>_xlfn.XLOOKUP(A294,datatable[[Name ]],datatable[Salary $ (Yearly)])</f>
        <v>245973</v>
      </c>
      <c r="R294" s="4"/>
      <c r="S294" s="4"/>
    </row>
    <row r="295" spans="1:19" x14ac:dyDescent="0.25">
      <c r="A295" t="str">
        <v>Nazlı Yıldız</v>
      </c>
      <c r="B295" s="2">
        <f>_xlfn.XLOOKUP(A295,datatable[[Name ]],datatable[Salary $ (Yearly)])</f>
        <v>199093</v>
      </c>
      <c r="R295" s="4"/>
      <c r="S295" s="4"/>
    </row>
    <row r="296" spans="1:19" x14ac:dyDescent="0.25">
      <c r="A296" t="str">
        <v>Nazlı Yılmaz</v>
      </c>
      <c r="B296" s="2">
        <f>_xlfn.XLOOKUP(A296,datatable[[Name ]],datatable[Salary $ (Yearly)])</f>
        <v>208015</v>
      </c>
      <c r="R296" s="4"/>
      <c r="S296" s="4"/>
    </row>
    <row r="297" spans="1:19" x14ac:dyDescent="0.25">
      <c r="A297" t="str">
        <v>Nicola Barbieri</v>
      </c>
      <c r="B297" s="2">
        <f>_xlfn.XLOOKUP(A297,datatable[[Name ]],datatable[Salary $ (Yearly)])</f>
        <v>77986</v>
      </c>
      <c r="R297" s="4"/>
      <c r="S297" s="4"/>
    </row>
    <row r="298" spans="1:19" x14ac:dyDescent="0.25">
      <c r="A298" t="str">
        <v>Nicola Colombo</v>
      </c>
      <c r="B298" s="2">
        <f>_xlfn.XLOOKUP(A298,datatable[[Name ]],datatable[Salary $ (Yearly)])</f>
        <v>187600</v>
      </c>
      <c r="R298" s="4"/>
      <c r="S298" s="4"/>
    </row>
    <row r="299" spans="1:19" x14ac:dyDescent="0.25">
      <c r="A299" t="str">
        <v>Nicola Lombardi</v>
      </c>
      <c r="B299" s="2">
        <f>_xlfn.XLOOKUP(A299,datatable[[Name ]],datatable[Salary $ (Yearly)])</f>
        <v>83360</v>
      </c>
      <c r="R299" s="4"/>
      <c r="S299" s="4"/>
    </row>
    <row r="300" spans="1:19" x14ac:dyDescent="0.25">
      <c r="A300" t="str">
        <v>Nicola Ricci</v>
      </c>
      <c r="B300" s="2">
        <f>_xlfn.XLOOKUP(A300,datatable[[Name ]],datatable[Salary $ (Yearly)])</f>
        <v>141062</v>
      </c>
      <c r="R300" s="4"/>
      <c r="S300" s="4"/>
    </row>
    <row r="301" spans="1:19" x14ac:dyDescent="0.25">
      <c r="A301" t="str">
        <v>Nicoletta Martini</v>
      </c>
      <c r="B301" s="2">
        <f>_xlfn.XLOOKUP(A301,datatable[[Name ]],datatable[Salary $ (Yearly)])</f>
        <v>187060</v>
      </c>
      <c r="R301" s="4"/>
      <c r="S301" s="4"/>
    </row>
    <row r="302" spans="1:19" x14ac:dyDescent="0.25">
      <c r="A302" t="str">
        <v>Nihan Yıldırım</v>
      </c>
      <c r="B302" s="2">
        <f>_xlfn.XLOOKUP(A302,datatable[[Name ]],datatable[Salary $ (Yearly)])</f>
        <v>249893</v>
      </c>
      <c r="R302" s="4"/>
      <c r="S302" s="4"/>
    </row>
    <row r="303" spans="1:19" x14ac:dyDescent="0.25">
      <c r="A303" t="str">
        <v>Nikolai Ivanov</v>
      </c>
      <c r="B303" s="2">
        <f>_xlfn.XLOOKUP(A303,datatable[[Name ]],datatable[Salary $ (Yearly)])</f>
        <v>299936</v>
      </c>
      <c r="R303" s="4"/>
      <c r="S303" s="4"/>
    </row>
    <row r="304" spans="1:19" x14ac:dyDescent="0.25">
      <c r="A304" t="str">
        <v>Nikolai Volkov</v>
      </c>
      <c r="B304" s="2">
        <f>_xlfn.XLOOKUP(A304,datatable[[Name ]],datatable[Salary $ (Yearly)])</f>
        <v>103840</v>
      </c>
      <c r="R304" s="4"/>
      <c r="S304" s="4"/>
    </row>
    <row r="305" spans="1:19" x14ac:dyDescent="0.25">
      <c r="A305" t="str">
        <v>Nina Petrova</v>
      </c>
      <c r="B305" s="2">
        <f>_xlfn.XLOOKUP(A305,datatable[[Name ]],datatable[Salary $ (Yearly)])</f>
        <v>71975</v>
      </c>
      <c r="R305" s="4"/>
      <c r="S305" s="4"/>
    </row>
    <row r="306" spans="1:19" x14ac:dyDescent="0.25">
      <c r="A306" t="str">
        <v>Nur Yıldız</v>
      </c>
      <c r="B306" s="2">
        <f>_xlfn.XLOOKUP(A306,datatable[[Name ]],datatable[Salary $ (Yearly)])</f>
        <v>233298</v>
      </c>
      <c r="R306" s="4"/>
      <c r="S306" s="4"/>
    </row>
    <row r="307" spans="1:19" x14ac:dyDescent="0.25">
      <c r="A307" t="str">
        <v>Nur Yılmaz</v>
      </c>
      <c r="B307" s="2">
        <f>_xlfn.XLOOKUP(A307,datatable[[Name ]],datatable[Salary $ (Yearly)])</f>
        <v>119476</v>
      </c>
      <c r="R307" s="4"/>
      <c r="S307" s="4"/>
    </row>
    <row r="308" spans="1:19" x14ac:dyDescent="0.25">
      <c r="A308" t="str">
        <v>Nuray Yılmaz</v>
      </c>
      <c r="B308" s="2">
        <f>_xlfn.XLOOKUP(A308,datatable[[Name ]],datatable[Salary $ (Yearly)])</f>
        <v>248358</v>
      </c>
      <c r="R308" s="4"/>
      <c r="S308" s="4"/>
    </row>
    <row r="309" spans="1:19" x14ac:dyDescent="0.25">
      <c r="A309" t="str">
        <v>Nuria García</v>
      </c>
      <c r="B309" s="2">
        <f>_xlfn.XLOOKUP(A309,datatable[[Name ]],datatable[Salary $ (Yearly)])</f>
        <v>107136</v>
      </c>
      <c r="R309" s="4"/>
      <c r="S309" s="4"/>
    </row>
    <row r="310" spans="1:19" x14ac:dyDescent="0.25">
      <c r="A310" t="str">
        <v>Nurşen Kılıç</v>
      </c>
      <c r="B310" s="2">
        <f>_xlfn.XLOOKUP(A310,datatable[[Name ]],datatable[Salary $ (Yearly)])</f>
        <v>63634</v>
      </c>
      <c r="R310" s="4"/>
      <c r="S310" s="4"/>
    </row>
    <row r="311" spans="1:19" x14ac:dyDescent="0.25">
      <c r="A311" t="str">
        <v>Oğuz Aydın</v>
      </c>
      <c r="B311" s="2">
        <f>_xlfn.XLOOKUP(A311,datatable[[Name ]],datatable[Salary $ (Yearly)])</f>
        <v>119151</v>
      </c>
      <c r="R311" s="4"/>
      <c r="S311" s="4"/>
    </row>
    <row r="312" spans="1:19" x14ac:dyDescent="0.25">
      <c r="A312" t="str">
        <v>Okan Yılmaz</v>
      </c>
      <c r="B312" s="2">
        <f>_xlfn.XLOOKUP(A312,datatable[[Name ]],datatable[Salary $ (Yearly)])</f>
        <v>234079</v>
      </c>
      <c r="R312" s="4"/>
      <c r="S312" s="4"/>
    </row>
    <row r="313" spans="1:19" x14ac:dyDescent="0.25">
      <c r="A313" t="str">
        <v>Olga Volkova</v>
      </c>
      <c r="B313" s="2">
        <f>_xlfn.XLOOKUP(A313,datatable[[Name ]],datatable[Salary $ (Yearly)])</f>
        <v>101023</v>
      </c>
      <c r="R313" s="4"/>
      <c r="S313" s="4"/>
    </row>
    <row r="314" spans="1:19" x14ac:dyDescent="0.25">
      <c r="A314" t="str">
        <v>Orhan Yılmaz</v>
      </c>
      <c r="B314" s="2">
        <f>_xlfn.XLOOKUP(A314,datatable[[Name ]],datatable[Salary $ (Yearly)])</f>
        <v>269759</v>
      </c>
      <c r="R314" s="4"/>
      <c r="S314" s="4"/>
    </row>
    <row r="315" spans="1:19" x14ac:dyDescent="0.25">
      <c r="A315" t="str">
        <v>Özcan Kütür</v>
      </c>
      <c r="B315" s="2">
        <f>_xlfn.XLOOKUP(A315,datatable[[Name ]],datatable[Salary $ (Yearly)])</f>
        <v>273761</v>
      </c>
      <c r="R315" s="4"/>
      <c r="S315" s="4"/>
    </row>
    <row r="316" spans="1:19" x14ac:dyDescent="0.25">
      <c r="A316" t="str">
        <v>Özge Yıldırım</v>
      </c>
      <c r="B316" s="2">
        <f>_xlfn.XLOOKUP(A316,datatable[[Name ]],datatable[Salary $ (Yearly)])</f>
        <v>133416</v>
      </c>
      <c r="R316" s="4"/>
      <c r="S316" s="4"/>
    </row>
    <row r="317" spans="1:19" x14ac:dyDescent="0.25">
      <c r="A317" t="str">
        <v>Özgür Kaya</v>
      </c>
      <c r="B317" s="2">
        <f>_xlfn.XLOOKUP(A317,datatable[[Name ]],datatable[Salary $ (Yearly)])</f>
        <v>222043</v>
      </c>
      <c r="R317" s="4"/>
      <c r="S317" s="4"/>
    </row>
    <row r="318" spans="1:19" x14ac:dyDescent="0.25">
      <c r="A318" t="str">
        <v>Özgür Yıldırım</v>
      </c>
      <c r="B318" s="2">
        <f>_xlfn.XLOOKUP(A318,datatable[[Name ]],datatable[Salary $ (Yearly)])</f>
        <v>131823</v>
      </c>
      <c r="R318" s="4"/>
      <c r="S318" s="4"/>
    </row>
    <row r="319" spans="1:19" x14ac:dyDescent="0.25">
      <c r="A319" t="str">
        <v>Özlem Yıldırım</v>
      </c>
      <c r="B319" s="2">
        <f>_xlfn.XLOOKUP(A319,datatable[[Name ]],datatable[Salary $ (Yearly)])</f>
        <v>271166</v>
      </c>
      <c r="R319" s="4"/>
      <c r="S319" s="4"/>
    </row>
    <row r="320" spans="1:19" x14ac:dyDescent="0.25">
      <c r="A320" t="str">
        <v>Özlem Yılmaz</v>
      </c>
      <c r="B320" s="2">
        <f>_xlfn.XLOOKUP(A320,datatable[[Name ]],datatable[Salary $ (Yearly)])</f>
        <v>81729</v>
      </c>
      <c r="R320" s="4"/>
      <c r="S320" s="4"/>
    </row>
    <row r="321" spans="1:19" x14ac:dyDescent="0.25">
      <c r="A321" t="str">
        <v>Paolo Caruso</v>
      </c>
      <c r="B321" s="2">
        <f>_xlfn.XLOOKUP(A321,datatable[[Name ]],datatable[Salary $ (Yearly)])</f>
        <v>145573</v>
      </c>
      <c r="R321" s="4"/>
      <c r="S321" s="4"/>
    </row>
    <row r="322" spans="1:19" x14ac:dyDescent="0.25">
      <c r="A322" t="str">
        <v>Paul Müller</v>
      </c>
      <c r="B322" s="2">
        <f>_xlfn.XLOOKUP(A322,datatable[[Name ]],datatable[Salary $ (Yearly)])</f>
        <v>195631</v>
      </c>
      <c r="R322" s="4"/>
      <c r="S322" s="4"/>
    </row>
    <row r="323" spans="1:19" x14ac:dyDescent="0.25">
      <c r="A323" t="str">
        <v>Pavel Smirnov</v>
      </c>
      <c r="B323" s="2">
        <f>_xlfn.XLOOKUP(A323,datatable[[Name ]],datatable[Salary $ (Yearly)])</f>
        <v>265207</v>
      </c>
      <c r="R323" s="4"/>
      <c r="S323" s="4"/>
    </row>
    <row r="324" spans="1:19" x14ac:dyDescent="0.25">
      <c r="A324" t="str">
        <v>Peter Fischer</v>
      </c>
      <c r="B324" s="2">
        <f>_xlfn.XLOOKUP(A324,datatable[[Name ]],datatable[Salary $ (Yearly)])</f>
        <v>281422</v>
      </c>
      <c r="R324" s="4"/>
      <c r="S324" s="4"/>
    </row>
    <row r="325" spans="1:19" x14ac:dyDescent="0.25">
      <c r="A325" t="str">
        <v>Rabia Yılmaz</v>
      </c>
      <c r="B325" s="2">
        <f>_xlfn.XLOOKUP(A325,datatable[[Name ]],datatable[Salary $ (Yearly)])</f>
        <v>228468</v>
      </c>
      <c r="R325" s="4"/>
      <c r="S325" s="4"/>
    </row>
    <row r="326" spans="1:19" x14ac:dyDescent="0.25">
      <c r="A326" t="str">
        <v>Riccardo Marchetti</v>
      </c>
      <c r="B326" s="2">
        <f>_xlfn.XLOOKUP(A326,datatable[[Name ]],datatable[Salary $ (Yearly)])</f>
        <v>147128</v>
      </c>
      <c r="R326" s="4"/>
      <c r="S326" s="4"/>
    </row>
    <row r="327" spans="1:19" x14ac:dyDescent="0.25">
      <c r="A327" t="str">
        <v>Riccardo Marini</v>
      </c>
      <c r="B327" s="2">
        <f>_xlfn.XLOOKUP(A327,datatable[[Name ]],datatable[Salary $ (Yearly)])</f>
        <v>117704</v>
      </c>
      <c r="R327" s="4"/>
      <c r="S327" s="4"/>
    </row>
    <row r="328" spans="1:19" x14ac:dyDescent="0.25">
      <c r="A328" t="str">
        <v>Riccardo Martini</v>
      </c>
      <c r="B328" s="2">
        <f>_xlfn.XLOOKUP(A328,datatable[[Name ]],datatable[Salary $ (Yearly)])</f>
        <v>258259</v>
      </c>
      <c r="R328" s="4"/>
      <c r="S328" s="4"/>
    </row>
    <row r="329" spans="1:19" x14ac:dyDescent="0.25">
      <c r="A329" t="str">
        <v>Riccardo Rinaldi</v>
      </c>
      <c r="B329" s="2">
        <f>_xlfn.XLOOKUP(A329,datatable[[Name ]],datatable[Salary $ (Yearly)])</f>
        <v>85782</v>
      </c>
      <c r="R329" s="4"/>
      <c r="S329" s="4"/>
    </row>
    <row r="330" spans="1:19" x14ac:dyDescent="0.25">
      <c r="A330" t="str">
        <v>Riccardo Vitale</v>
      </c>
      <c r="B330" s="2">
        <f>_xlfn.XLOOKUP(A330,datatable[[Name ]],datatable[Salary $ (Yearly)])</f>
        <v>244324</v>
      </c>
      <c r="R330" s="4"/>
      <c r="S330" s="4"/>
    </row>
    <row r="331" spans="1:19" x14ac:dyDescent="0.25">
      <c r="A331" t="str">
        <v>Roberto Ferreira</v>
      </c>
      <c r="B331" s="2">
        <f>_xlfn.XLOOKUP(A331,datatable[[Name ]],datatable[Salary $ (Yearly)])</f>
        <v>238998</v>
      </c>
      <c r="R331" s="4"/>
      <c r="S331" s="4"/>
    </row>
    <row r="332" spans="1:19" x14ac:dyDescent="0.25">
      <c r="A332" t="str">
        <v>Rüstem Arslan</v>
      </c>
      <c r="B332" s="2">
        <f>_xlfn.XLOOKUP(A332,datatable[[Name ]],datatable[Salary $ (Yearly)])</f>
        <v>135594</v>
      </c>
      <c r="R332" s="4"/>
      <c r="S332" s="4"/>
    </row>
    <row r="333" spans="1:19" x14ac:dyDescent="0.25">
      <c r="A333" t="str">
        <v>Sara Mancini</v>
      </c>
      <c r="B333" s="2">
        <f>_xlfn.XLOOKUP(A333,datatable[[Name ]],datatable[Salary $ (Yearly)])</f>
        <v>251363</v>
      </c>
      <c r="R333" s="4"/>
      <c r="S333" s="4"/>
    </row>
    <row r="334" spans="1:19" x14ac:dyDescent="0.25">
      <c r="A334" t="str">
        <v>Sarah Johnson</v>
      </c>
      <c r="B334" s="2">
        <f>_xlfn.XLOOKUP(A334,datatable[[Name ]],datatable[Salary $ (Yearly)])</f>
        <v>148570</v>
      </c>
      <c r="R334" s="4"/>
      <c r="S334" s="4"/>
    </row>
    <row r="335" spans="1:19" x14ac:dyDescent="0.25">
      <c r="A335" t="str">
        <v>Sebastian Fischer</v>
      </c>
      <c r="B335" s="2">
        <f>_xlfn.XLOOKUP(A335,datatable[[Name ]],datatable[Salary $ (Yearly)])</f>
        <v>229818</v>
      </c>
      <c r="R335" s="4"/>
      <c r="S335" s="4"/>
    </row>
    <row r="336" spans="1:19" x14ac:dyDescent="0.25">
      <c r="A336" t="str">
        <v>Seda Kaya</v>
      </c>
      <c r="B336" s="2">
        <f>_xlfn.XLOOKUP(A336,datatable[[Name ]],datatable[Salary $ (Yearly)])</f>
        <v>198311</v>
      </c>
      <c r="R336" s="4"/>
      <c r="S336" s="4"/>
    </row>
    <row r="337" spans="1:19" x14ac:dyDescent="0.25">
      <c r="A337" t="str">
        <v>Seda Yılmaz</v>
      </c>
      <c r="B337" s="2">
        <f>_xlfn.XLOOKUP(A337,datatable[[Name ]],datatable[Salary $ (Yearly)])</f>
        <v>103571</v>
      </c>
      <c r="R337" s="4"/>
      <c r="S337" s="4"/>
    </row>
    <row r="338" spans="1:19" x14ac:dyDescent="0.25">
      <c r="A338" t="str">
        <v>Sedef Yılmaz</v>
      </c>
      <c r="B338" s="2">
        <f>_xlfn.XLOOKUP(A338,datatable[[Name ]],datatable[Salary $ (Yearly)])</f>
        <v>226160</v>
      </c>
      <c r="R338" s="4"/>
      <c r="S338" s="4"/>
    </row>
    <row r="339" spans="1:19" x14ac:dyDescent="0.25">
      <c r="A339" t="str">
        <v>Selin Aydın</v>
      </c>
      <c r="B339" s="2">
        <f>_xlfn.XLOOKUP(A339,datatable[[Name ]],datatable[Salary $ (Yearly)])</f>
        <v>273913</v>
      </c>
      <c r="R339" s="4"/>
      <c r="S339" s="4"/>
    </row>
    <row r="340" spans="1:19" x14ac:dyDescent="0.25">
      <c r="A340" t="str">
        <v>Selin Kaya</v>
      </c>
      <c r="B340" s="2">
        <f>_xlfn.XLOOKUP(A340,datatable[[Name ]],datatable[Salary $ (Yearly)])</f>
        <v>236093</v>
      </c>
      <c r="R340" s="4"/>
      <c r="S340" s="4"/>
    </row>
    <row r="341" spans="1:19" x14ac:dyDescent="0.25">
      <c r="A341" t="str">
        <v>Selin Yıldırım</v>
      </c>
      <c r="B341" s="2">
        <f>_xlfn.XLOOKUP(A341,datatable[[Name ]],datatable[Salary $ (Yearly)])</f>
        <v>189527</v>
      </c>
      <c r="R341" s="4"/>
      <c r="S341" s="4"/>
    </row>
    <row r="342" spans="1:19" x14ac:dyDescent="0.25">
      <c r="A342" t="str">
        <v>Selin Yıldız</v>
      </c>
      <c r="B342" s="2">
        <f>_xlfn.XLOOKUP(A342,datatable[[Name ]],datatable[Salary $ (Yearly)])</f>
        <v>187266</v>
      </c>
      <c r="R342" s="4"/>
      <c r="S342" s="4"/>
    </row>
    <row r="343" spans="1:19" x14ac:dyDescent="0.25">
      <c r="A343" t="str">
        <v>Selin Yılmaz</v>
      </c>
      <c r="B343" s="2">
        <f>_xlfn.XLOOKUP(A343,datatable[[Name ]],datatable[Salary $ (Yearly)])</f>
        <v>231731</v>
      </c>
      <c r="R343" s="4"/>
      <c r="S343" s="4"/>
    </row>
    <row r="344" spans="1:19" x14ac:dyDescent="0.25">
      <c r="A344" t="str">
        <v>Sergei Ivanov</v>
      </c>
      <c r="B344" s="2">
        <f>_xlfn.XLOOKUP(A344,datatable[[Name ]],datatable[Salary $ (Yearly)])</f>
        <v>251895</v>
      </c>
      <c r="R344" s="4"/>
      <c r="S344" s="4"/>
    </row>
    <row r="345" spans="1:19" x14ac:dyDescent="0.25">
      <c r="A345" t="str">
        <v>Serkan Aydın</v>
      </c>
      <c r="B345" s="2">
        <f>_xlfn.XLOOKUP(A345,datatable[[Name ]],datatable[Salary $ (Yearly)])</f>
        <v>114725</v>
      </c>
      <c r="R345" s="4"/>
      <c r="S345" s="4"/>
    </row>
    <row r="346" spans="1:19" x14ac:dyDescent="0.25">
      <c r="A346" t="str">
        <v>Sevgi Aksoy</v>
      </c>
      <c r="B346" s="2">
        <f>_xlfn.XLOOKUP(A346,datatable[[Name ]],datatable[Salary $ (Yearly)])</f>
        <v>201734</v>
      </c>
      <c r="R346" s="4"/>
      <c r="S346" s="4"/>
    </row>
    <row r="347" spans="1:19" x14ac:dyDescent="0.25">
      <c r="A347" t="str">
        <v>Sevil Yılmaz</v>
      </c>
      <c r="B347" s="2">
        <f>_xlfn.XLOOKUP(A347,datatable[[Name ]],datatable[Salary $ (Yearly)])</f>
        <v>198253</v>
      </c>
      <c r="R347" s="4"/>
      <c r="S347" s="4"/>
    </row>
    <row r="348" spans="1:19" x14ac:dyDescent="0.25">
      <c r="A348" t="str">
        <v>Sezgin Yıldırım</v>
      </c>
      <c r="B348" s="2">
        <f>_xlfn.XLOOKUP(A348,datatable[[Name ]],datatable[Salary $ (Yearly)])</f>
        <v>115367</v>
      </c>
      <c r="R348" s="4"/>
      <c r="S348" s="4"/>
    </row>
    <row r="349" spans="1:19" x14ac:dyDescent="0.25">
      <c r="A349" t="str">
        <v>Sibel Yıldırım</v>
      </c>
      <c r="B349" s="2">
        <f>_xlfn.XLOOKUP(A349,datatable[[Name ]],datatable[Salary $ (Yearly)])</f>
        <v>266481</v>
      </c>
      <c r="R349" s="4"/>
      <c r="S349" s="4"/>
    </row>
    <row r="350" spans="1:19" x14ac:dyDescent="0.25">
      <c r="A350" t="str">
        <v>Silvia Colombo</v>
      </c>
      <c r="B350" s="2">
        <f>_xlfn.XLOOKUP(A350,datatable[[Name ]],datatable[Salary $ (Yearly)])</f>
        <v>97440</v>
      </c>
      <c r="R350" s="4"/>
      <c r="S350" s="4"/>
    </row>
    <row r="351" spans="1:19" x14ac:dyDescent="0.25">
      <c r="A351" t="str">
        <v>Simon Fischer</v>
      </c>
      <c r="B351" s="2">
        <f>_xlfn.XLOOKUP(A351,datatable[[Name ]],datatable[Salary $ (Yearly)])</f>
        <v>136373</v>
      </c>
      <c r="R351" s="4"/>
      <c r="S351" s="4"/>
    </row>
    <row r="352" spans="1:19" x14ac:dyDescent="0.25">
      <c r="A352" t="str">
        <v>Simone Barbieri</v>
      </c>
      <c r="B352" s="2">
        <f>_xlfn.XLOOKUP(A352,datatable[[Name ]],datatable[Salary $ (Yearly)])</f>
        <v>259704</v>
      </c>
      <c r="R352" s="4"/>
      <c r="S352" s="4"/>
    </row>
    <row r="353" spans="1:19" x14ac:dyDescent="0.25">
      <c r="A353" t="str">
        <v>Simone Bianchi</v>
      </c>
      <c r="B353" s="2">
        <f>_xlfn.XLOOKUP(A353,datatable[[Name ]],datatable[Salary $ (Yearly)])</f>
        <v>119832</v>
      </c>
      <c r="R353" s="4"/>
      <c r="S353" s="4"/>
    </row>
    <row r="354" spans="1:19" x14ac:dyDescent="0.25">
      <c r="A354" t="str">
        <v>Simone Lombardi</v>
      </c>
      <c r="B354" s="2">
        <f>_xlfn.XLOOKUP(A354,datatable[[Name ]],datatable[Salary $ (Yearly)])</f>
        <v>227357</v>
      </c>
      <c r="R354" s="4"/>
      <c r="S354" s="4"/>
    </row>
    <row r="355" spans="1:19" x14ac:dyDescent="0.25">
      <c r="A355" t="str">
        <v>Sofia Santos</v>
      </c>
      <c r="B355" s="2">
        <f>_xlfn.XLOOKUP(A355,datatable[[Name ]],datatable[Salary $ (Yearly)])</f>
        <v>66806</v>
      </c>
      <c r="R355" s="4"/>
      <c r="S355" s="4"/>
    </row>
    <row r="356" spans="1:19" x14ac:dyDescent="0.25">
      <c r="A356" t="str">
        <v>Sophia Müller</v>
      </c>
      <c r="B356" s="2">
        <f>_xlfn.XLOOKUP(A356,datatable[[Name ]],datatable[Salary $ (Yearly)])</f>
        <v>187122</v>
      </c>
      <c r="R356" s="4"/>
      <c r="S356" s="4"/>
    </row>
    <row r="357" spans="1:19" x14ac:dyDescent="0.25">
      <c r="A357" t="str">
        <v>Sophia Schmidt</v>
      </c>
      <c r="B357" s="2">
        <f>_xlfn.XLOOKUP(A357,datatable[[Name ]],datatable[Salary $ (Yearly)])</f>
        <v>132391</v>
      </c>
      <c r="R357" s="4"/>
      <c r="S357" s="4"/>
    </row>
    <row r="358" spans="1:19" x14ac:dyDescent="0.25">
      <c r="A358" t="str">
        <v>Sophie Fischer</v>
      </c>
      <c r="B358" s="2">
        <f>_xlfn.XLOOKUP(A358,datatable[[Name ]],datatable[Salary $ (Yearly)])</f>
        <v>271743</v>
      </c>
      <c r="R358" s="4"/>
      <c r="S358" s="4"/>
    </row>
    <row r="359" spans="1:19" x14ac:dyDescent="0.25">
      <c r="A359" t="str">
        <v>Stefano Barbieri</v>
      </c>
      <c r="B359" s="2">
        <f>_xlfn.XLOOKUP(A359,datatable[[Name ]],datatable[Salary $ (Yearly)])</f>
        <v>230499</v>
      </c>
      <c r="R359" s="4"/>
      <c r="S359" s="4"/>
    </row>
    <row r="360" spans="1:19" x14ac:dyDescent="0.25">
      <c r="A360" t="str">
        <v>Stefano Sartori</v>
      </c>
      <c r="B360" s="2">
        <f>_xlfn.XLOOKUP(A360,datatable[[Name ]],datatable[Salary $ (Yearly)])</f>
        <v>231552</v>
      </c>
      <c r="R360" s="4"/>
      <c r="S360" s="4"/>
    </row>
    <row r="361" spans="1:19" x14ac:dyDescent="0.25">
      <c r="A361" t="str">
        <v>Süleyman Kılıç</v>
      </c>
      <c r="B361" s="2">
        <f>_xlfn.XLOOKUP(A361,datatable[[Name ]],datatable[Salary $ (Yearly)])</f>
        <v>260131</v>
      </c>
      <c r="R361" s="4"/>
      <c r="S361" s="4"/>
    </row>
    <row r="362" spans="1:19" x14ac:dyDescent="0.25">
      <c r="A362" t="str">
        <v>Svetlana Ivanova</v>
      </c>
      <c r="B362" s="2">
        <f>_xlfn.XLOOKUP(A362,datatable[[Name ]],datatable[Salary $ (Yearly)])</f>
        <v>108008</v>
      </c>
      <c r="R362" s="4"/>
      <c r="S362" s="4"/>
    </row>
    <row r="363" spans="1:19" x14ac:dyDescent="0.25">
      <c r="A363" t="str">
        <v>Tarık Yılmaz</v>
      </c>
      <c r="B363" s="2">
        <f>_xlfn.XLOOKUP(A363,datatable[[Name ]],datatable[Salary $ (Yearly)])</f>
        <v>136730</v>
      </c>
      <c r="R363" s="4"/>
      <c r="S363" s="4"/>
    </row>
    <row r="364" spans="1:19" x14ac:dyDescent="0.25">
      <c r="A364" t="str">
        <v>Tatiana Kuznetsova</v>
      </c>
      <c r="B364" s="2">
        <f>_xlfn.XLOOKUP(A364,datatable[[Name ]],datatable[Salary $ (Yearly)])</f>
        <v>271102</v>
      </c>
      <c r="R364" s="4"/>
      <c r="S364" s="4"/>
    </row>
    <row r="365" spans="1:19" x14ac:dyDescent="0.25">
      <c r="A365" t="str">
        <v>Thomas Wagner</v>
      </c>
      <c r="B365" s="2">
        <f>_xlfn.XLOOKUP(A365,datatable[[Name ]],datatable[Salary $ (Yearly)])</f>
        <v>88411</v>
      </c>
      <c r="R365" s="4"/>
      <c r="S365" s="4"/>
    </row>
    <row r="366" spans="1:19" x14ac:dyDescent="0.25">
      <c r="A366" t="str">
        <v>Timur Müller</v>
      </c>
      <c r="B366" s="2">
        <f>_xlfn.XLOOKUP(A366,datatable[[Name ]],datatable[Salary $ (Yearly)])</f>
        <v>192600</v>
      </c>
      <c r="R366" s="4"/>
      <c r="S366" s="4"/>
    </row>
    <row r="367" spans="1:19" x14ac:dyDescent="0.25">
      <c r="A367" t="str">
        <v>Tolga Yılmaz</v>
      </c>
      <c r="B367" s="2">
        <f>_xlfn.XLOOKUP(A367,datatable[[Name ]],datatable[Salary $ (Yearly)])</f>
        <v>226244</v>
      </c>
      <c r="R367" s="4"/>
      <c r="S367" s="4"/>
    </row>
    <row r="368" spans="1:19" x14ac:dyDescent="0.25">
      <c r="A368" t="str">
        <v>Tommaso Esposito</v>
      </c>
      <c r="B368" s="2">
        <f>_xlfn.XLOOKUP(A368,datatable[[Name ]],datatable[Salary $ (Yearly)])</f>
        <v>141272</v>
      </c>
      <c r="R368" s="4"/>
      <c r="S368" s="4"/>
    </row>
    <row r="369" spans="1:19" x14ac:dyDescent="0.25">
      <c r="A369" t="str">
        <v>Tuğba Aydın</v>
      </c>
      <c r="B369" s="2">
        <f>_xlfn.XLOOKUP(A369,datatable[[Name ]],datatable[Salary $ (Yearly)])</f>
        <v>206068</v>
      </c>
      <c r="R369" s="4"/>
      <c r="S369" s="4"/>
    </row>
    <row r="370" spans="1:19" x14ac:dyDescent="0.25">
      <c r="A370" t="str">
        <v>Tuğba Yılmaz</v>
      </c>
      <c r="B370" s="2">
        <f>_xlfn.XLOOKUP(A370,datatable[[Name ]],datatable[Salary $ (Yearly)])</f>
        <v>261553</v>
      </c>
      <c r="R370" s="4"/>
      <c r="S370" s="4"/>
    </row>
    <row r="371" spans="1:19" x14ac:dyDescent="0.25">
      <c r="A371" t="str">
        <v>Uğur Yılmaz</v>
      </c>
      <c r="B371" s="2">
        <f>_xlfn.XLOOKUP(A371,datatable[[Name ]],datatable[Salary $ (Yearly)])</f>
        <v>248144</v>
      </c>
      <c r="R371" s="4"/>
      <c r="S371" s="4"/>
    </row>
    <row r="372" spans="1:19" x14ac:dyDescent="0.25">
      <c r="A372" t="str">
        <v>Umut Yılmaz</v>
      </c>
      <c r="B372" s="2">
        <f>_xlfn.XLOOKUP(A372,datatable[[Name ]],datatable[Salary $ (Yearly)])</f>
        <v>191374</v>
      </c>
      <c r="R372" s="4"/>
      <c r="S372" s="4"/>
    </row>
    <row r="373" spans="1:19" x14ac:dyDescent="0.25">
      <c r="A373" t="str">
        <v>Valentina De Luca</v>
      </c>
      <c r="B373" s="2">
        <f>_xlfn.XLOOKUP(A373,datatable[[Name ]],datatable[Salary $ (Yearly)])</f>
        <v>198849</v>
      </c>
      <c r="R373" s="4"/>
      <c r="S373" s="4"/>
    </row>
    <row r="374" spans="1:19" x14ac:dyDescent="0.25">
      <c r="A374" t="str">
        <v>Valentina Ferrari</v>
      </c>
      <c r="B374" s="2">
        <f>_xlfn.XLOOKUP(A374,datatable[[Name ]],datatable[Salary $ (Yearly)])</f>
        <v>181695</v>
      </c>
      <c r="R374" s="4"/>
      <c r="S374" s="4"/>
    </row>
    <row r="375" spans="1:19" x14ac:dyDescent="0.25">
      <c r="A375" t="str">
        <v>Valentina Martini</v>
      </c>
      <c r="B375" s="2">
        <f>_xlfn.XLOOKUP(A375,datatable[[Name ]],datatable[Salary $ (Yearly)])</f>
        <v>184703</v>
      </c>
      <c r="R375" s="4"/>
      <c r="S375" s="4"/>
    </row>
    <row r="376" spans="1:19" x14ac:dyDescent="0.25">
      <c r="A376" t="str">
        <v>Valentina Pinto</v>
      </c>
      <c r="B376" s="2">
        <f>_xlfn.XLOOKUP(A376,datatable[[Name ]],datatable[Salary $ (Yearly)])</f>
        <v>88786</v>
      </c>
      <c r="R376" s="4"/>
      <c r="S376" s="4"/>
    </row>
    <row r="377" spans="1:19" x14ac:dyDescent="0.25">
      <c r="A377" t="str">
        <v>Valentina Rossi</v>
      </c>
      <c r="B377" s="2">
        <f>_xlfn.XLOOKUP(A377,datatable[[Name ]],datatable[Salary $ (Yearly)])</f>
        <v>241192</v>
      </c>
      <c r="R377" s="4"/>
      <c r="S377" s="4"/>
    </row>
    <row r="378" spans="1:19" x14ac:dyDescent="0.25">
      <c r="A378" t="str">
        <v>Valeria Esposito</v>
      </c>
      <c r="B378" s="2">
        <f>_xlfn.XLOOKUP(A378,datatable[[Name ]],datatable[Salary $ (Yearly)])</f>
        <v>142331</v>
      </c>
      <c r="R378" s="4"/>
      <c r="S378" s="4"/>
    </row>
    <row r="379" spans="1:19" x14ac:dyDescent="0.25">
      <c r="A379" t="str">
        <v>Valeria Popova</v>
      </c>
      <c r="B379" s="2">
        <f>_xlfn.XLOOKUP(A379,datatable[[Name ]],datatable[Salary $ (Yearly)])</f>
        <v>293469</v>
      </c>
      <c r="R379" s="4"/>
      <c r="S379" s="4"/>
    </row>
    <row r="380" spans="1:19" x14ac:dyDescent="0.25">
      <c r="A380" t="str">
        <v>Viktor Petrov</v>
      </c>
      <c r="B380" s="2">
        <f>_xlfn.XLOOKUP(A380,datatable[[Name ]],datatable[Salary $ (Yearly)])</f>
        <v>237416</v>
      </c>
      <c r="R380" s="4"/>
      <c r="S380" s="4"/>
    </row>
    <row r="381" spans="1:19" x14ac:dyDescent="0.25">
      <c r="A381" t="str">
        <v>Vincenzo Costa</v>
      </c>
      <c r="B381" s="2">
        <f>_xlfn.XLOOKUP(A381,datatable[[Name ]],datatable[Salary $ (Yearly)])</f>
        <v>258489</v>
      </c>
      <c r="R381" s="4"/>
      <c r="S381" s="4"/>
    </row>
    <row r="382" spans="1:19" x14ac:dyDescent="0.25">
      <c r="A382" t="str">
        <v>Vincenzo Ferrari</v>
      </c>
      <c r="B382" s="2">
        <f>_xlfn.XLOOKUP(A382,datatable[[Name ]],datatable[Salary $ (Yearly)])</f>
        <v>133659</v>
      </c>
      <c r="R382" s="4"/>
      <c r="S382" s="4"/>
    </row>
    <row r="383" spans="1:19" x14ac:dyDescent="0.25">
      <c r="A383" t="str">
        <v>Vincenzo Rizzo</v>
      </c>
      <c r="B383" s="2">
        <f>_xlfn.XLOOKUP(A383,datatable[[Name ]],datatable[Salary $ (Yearly)])</f>
        <v>134311</v>
      </c>
      <c r="R383" s="4"/>
      <c r="S383" s="4"/>
    </row>
    <row r="384" spans="1:19" x14ac:dyDescent="0.25">
      <c r="A384" t="str">
        <v>Vladimir Popov</v>
      </c>
      <c r="B384" s="2">
        <f>_xlfn.XLOOKUP(A384,datatable[[Name ]],datatable[Salary $ (Yearly)])</f>
        <v>208004</v>
      </c>
      <c r="R384" s="4"/>
      <c r="S384" s="4"/>
    </row>
    <row r="385" spans="1:19" x14ac:dyDescent="0.25">
      <c r="A385" t="str">
        <v>Vladislav Petrov</v>
      </c>
      <c r="B385" s="2">
        <f>_xlfn.XLOOKUP(A385,datatable[[Name ]],datatable[Salary $ (Yearly)])</f>
        <v>117420</v>
      </c>
      <c r="R385" s="4"/>
      <c r="S385" s="4"/>
    </row>
    <row r="386" spans="1:19" x14ac:dyDescent="0.25">
      <c r="A386" t="str">
        <v>Vladislav Volkov</v>
      </c>
      <c r="B386" s="2">
        <f>_xlfn.XLOOKUP(A386,datatable[[Name ]],datatable[Salary $ (Yearly)])</f>
        <v>201188</v>
      </c>
      <c r="R386" s="4"/>
      <c r="S386" s="4"/>
    </row>
    <row r="387" spans="1:19" x14ac:dyDescent="0.25">
      <c r="A387" t="str">
        <v>Yağmur Yıldırım</v>
      </c>
      <c r="B387" s="2">
        <f>_xlfn.XLOOKUP(A387,datatable[[Name ]],datatable[Salary $ (Yearly)])</f>
        <v>79529</v>
      </c>
      <c r="R387" s="4"/>
      <c r="S387" s="4"/>
    </row>
    <row r="388" spans="1:19" x14ac:dyDescent="0.25">
      <c r="A388" t="str">
        <v>Yağmur Yılmaz</v>
      </c>
      <c r="B388" s="2">
        <f>_xlfn.XLOOKUP(A388,datatable[[Name ]],datatable[Salary $ (Yearly)])</f>
        <v>205063</v>
      </c>
      <c r="R388" s="4"/>
      <c r="S388" s="4"/>
    </row>
    <row r="389" spans="1:19" x14ac:dyDescent="0.25">
      <c r="A389" t="str">
        <v>Yasemin Kaya</v>
      </c>
      <c r="B389" s="2">
        <f>_xlfn.XLOOKUP(A389,datatable[[Name ]],datatable[Salary $ (Yearly)])</f>
        <v>247315</v>
      </c>
      <c r="R389" s="4"/>
      <c r="S389" s="4"/>
    </row>
    <row r="390" spans="1:19" x14ac:dyDescent="0.25">
      <c r="A390" t="str">
        <v>Yasemin Yıldırım</v>
      </c>
      <c r="B390" s="2">
        <f>_xlfn.XLOOKUP(A390,datatable[[Name ]],datatable[Salary $ (Yearly)])</f>
        <v>181339</v>
      </c>
      <c r="R390" s="4"/>
      <c r="S390" s="4"/>
    </row>
    <row r="391" spans="1:19" x14ac:dyDescent="0.25">
      <c r="A391" t="str">
        <v>Yasemin Yıldız</v>
      </c>
      <c r="B391" s="2">
        <f>_xlfn.XLOOKUP(A391,datatable[[Name ]],datatable[Salary $ (Yearly)])</f>
        <v>261357</v>
      </c>
      <c r="R391" s="4"/>
      <c r="S391" s="4"/>
    </row>
    <row r="392" spans="1:19" x14ac:dyDescent="0.25">
      <c r="A392" t="str">
        <v>Yasemin Yılmaz</v>
      </c>
      <c r="B392" s="2">
        <f>_xlfn.XLOOKUP(A392,datatable[[Name ]],datatable[Salary $ (Yearly)])</f>
        <v>350000</v>
      </c>
      <c r="R392" s="4"/>
      <c r="S392" s="4"/>
    </row>
    <row r="393" spans="1:19" x14ac:dyDescent="0.25">
      <c r="A393" t="str">
        <v>Yelena Petrova</v>
      </c>
      <c r="B393" s="2">
        <f>_xlfn.XLOOKUP(A393,datatable[[Name ]],datatable[Salary $ (Yearly)])</f>
        <v>282496</v>
      </c>
      <c r="R393" s="4"/>
      <c r="S393" s="4"/>
    </row>
    <row r="394" spans="1:19" x14ac:dyDescent="0.25">
      <c r="A394" t="str">
        <v>Yeliz Yıldız</v>
      </c>
      <c r="B394" s="2">
        <f>_xlfn.XLOOKUP(A394,datatable[[Name ]],datatable[Salary $ (Yearly)])</f>
        <v>192929</v>
      </c>
      <c r="R394" s="4"/>
      <c r="S394" s="4"/>
    </row>
    <row r="395" spans="1:19" x14ac:dyDescent="0.25">
      <c r="A395" t="str">
        <v>Yeliz Yılmaz</v>
      </c>
      <c r="B395" s="2">
        <f>_xlfn.XLOOKUP(A395,datatable[[Name ]],datatable[Salary $ (Yearly)])</f>
        <v>264373</v>
      </c>
      <c r="R395" s="4"/>
      <c r="S395" s="4"/>
    </row>
    <row r="396" spans="1:19" x14ac:dyDescent="0.25">
      <c r="A396" t="str">
        <v>Zeynep Kaya</v>
      </c>
      <c r="B396" s="2">
        <f>_xlfn.XLOOKUP(A396,datatable[[Name ]],datatable[Salary $ (Yearly)])</f>
        <v>69941</v>
      </c>
      <c r="R396" s="4"/>
      <c r="S396" s="4"/>
    </row>
    <row r="397" spans="1:19" x14ac:dyDescent="0.25">
      <c r="A397" t="str">
        <v>Zeynep Yıldırım</v>
      </c>
      <c r="B397" s="2">
        <f>_xlfn.XLOOKUP(A397,datatable[[Name ]],datatable[Salary $ (Yearly)])</f>
        <v>202550</v>
      </c>
      <c r="R397" s="4"/>
      <c r="S397" s="4"/>
    </row>
    <row r="398" spans="1:19" x14ac:dyDescent="0.25">
      <c r="A398" t="str">
        <v>Zeynep Yıldız</v>
      </c>
      <c r="B398" s="2">
        <f>_xlfn.XLOOKUP(A398,datatable[[Name ]],datatable[Salary $ (Yearly)])</f>
        <v>183788</v>
      </c>
      <c r="R398" s="4"/>
      <c r="S398" s="4"/>
    </row>
    <row r="399" spans="1:19" x14ac:dyDescent="0.25">
      <c r="R399" s="4"/>
      <c r="S399" s="4"/>
    </row>
    <row r="400" spans="1:19" x14ac:dyDescent="0.25">
      <c r="R400" s="4"/>
      <c r="S400" s="4"/>
    </row>
    <row r="401" spans="18:19" x14ac:dyDescent="0.25">
      <c r="R401" s="4"/>
      <c r="S401" s="4"/>
    </row>
    <row r="402" spans="18:19" x14ac:dyDescent="0.25">
      <c r="R402" s="4"/>
      <c r="S402" s="4"/>
    </row>
    <row r="403" spans="18:19" x14ac:dyDescent="0.25">
      <c r="R403" s="4"/>
      <c r="S403" s="4"/>
    </row>
    <row r="404" spans="18:19" x14ac:dyDescent="0.25">
      <c r="R404" s="4"/>
      <c r="S404" s="4"/>
    </row>
    <row r="405" spans="18:19" x14ac:dyDescent="0.25">
      <c r="R405" s="4"/>
      <c r="S405" s="4"/>
    </row>
    <row r="406" spans="18:19" x14ac:dyDescent="0.25">
      <c r="R406" s="4"/>
      <c r="S406" s="4"/>
    </row>
    <row r="407" spans="18:19" x14ac:dyDescent="0.25">
      <c r="R407" s="4"/>
      <c r="S407" s="4"/>
    </row>
    <row r="408" spans="18:19" x14ac:dyDescent="0.25">
      <c r="R408" s="4"/>
      <c r="S408" s="4"/>
    </row>
    <row r="409" spans="18:19" x14ac:dyDescent="0.25">
      <c r="R409" s="4"/>
      <c r="S409" s="4"/>
    </row>
    <row r="410" spans="18:19" x14ac:dyDescent="0.25">
      <c r="R410" s="4"/>
      <c r="S410" s="4"/>
    </row>
    <row r="411" spans="18:19" x14ac:dyDescent="0.25">
      <c r="R411" s="4"/>
      <c r="S411" s="4"/>
    </row>
    <row r="412" spans="18:19" x14ac:dyDescent="0.25">
      <c r="R412" s="4"/>
      <c r="S412" s="4"/>
    </row>
    <row r="413" spans="18:19" x14ac:dyDescent="0.25">
      <c r="R413" s="4"/>
      <c r="S413" s="4"/>
    </row>
    <row r="414" spans="18:19" x14ac:dyDescent="0.25">
      <c r="R414" s="4"/>
      <c r="S414" s="4"/>
    </row>
    <row r="415" spans="18:19" x14ac:dyDescent="0.25">
      <c r="R415" s="4"/>
      <c r="S415" s="4"/>
    </row>
    <row r="416" spans="18:19" x14ac:dyDescent="0.25">
      <c r="R416" s="4"/>
      <c r="S416" s="4"/>
    </row>
    <row r="417" spans="18:19" x14ac:dyDescent="0.25">
      <c r="R417" s="4"/>
      <c r="S417" s="4"/>
    </row>
    <row r="418" spans="18:19" x14ac:dyDescent="0.25">
      <c r="R418" s="4"/>
      <c r="S418" s="4"/>
    </row>
    <row r="419" spans="18:19" x14ac:dyDescent="0.25">
      <c r="R419" s="4"/>
      <c r="S419" s="4"/>
    </row>
    <row r="420" spans="18:19" x14ac:dyDescent="0.25">
      <c r="R420" s="4"/>
      <c r="S420" s="4"/>
    </row>
    <row r="421" spans="18:19" x14ac:dyDescent="0.25">
      <c r="R421" s="4"/>
      <c r="S421" s="4"/>
    </row>
    <row r="422" spans="18:19" x14ac:dyDescent="0.25">
      <c r="R422" s="4"/>
      <c r="S422" s="4"/>
    </row>
    <row r="423" spans="18:19" x14ac:dyDescent="0.25">
      <c r="R423" s="4"/>
      <c r="S423" s="4"/>
    </row>
    <row r="424" spans="18:19" x14ac:dyDescent="0.25">
      <c r="R424" s="4"/>
      <c r="S424" s="4"/>
    </row>
    <row r="425" spans="18:19" x14ac:dyDescent="0.25">
      <c r="R425" s="4"/>
      <c r="S425" s="4"/>
    </row>
    <row r="426" spans="18:19" x14ac:dyDescent="0.25">
      <c r="R426" s="4"/>
      <c r="S426" s="4"/>
    </row>
    <row r="427" spans="18:19" x14ac:dyDescent="0.25">
      <c r="R427" s="4"/>
      <c r="S427" s="4"/>
    </row>
    <row r="428" spans="18:19" x14ac:dyDescent="0.25">
      <c r="R428" s="4"/>
      <c r="S428" s="4"/>
    </row>
    <row r="429" spans="18:19" x14ac:dyDescent="0.25">
      <c r="R429" s="4"/>
      <c r="S429" s="4"/>
    </row>
    <row r="430" spans="18:19" x14ac:dyDescent="0.25">
      <c r="R430" s="4"/>
      <c r="S430" s="4"/>
    </row>
    <row r="431" spans="18:19" x14ac:dyDescent="0.25">
      <c r="R431" s="4"/>
      <c r="S431" s="4"/>
    </row>
    <row r="432" spans="18:19" x14ac:dyDescent="0.25">
      <c r="R432" s="4"/>
      <c r="S432" s="4"/>
    </row>
    <row r="433" spans="18:19" x14ac:dyDescent="0.25">
      <c r="R433" s="4"/>
      <c r="S433" s="4"/>
    </row>
    <row r="434" spans="18:19" x14ac:dyDescent="0.25">
      <c r="R434" s="4"/>
      <c r="S434" s="4"/>
    </row>
    <row r="435" spans="18:19" x14ac:dyDescent="0.25">
      <c r="R435" s="4"/>
      <c r="S435" s="4"/>
    </row>
    <row r="436" spans="18:19" x14ac:dyDescent="0.25">
      <c r="R436" s="4"/>
      <c r="S436" s="4"/>
    </row>
    <row r="437" spans="18:19" x14ac:dyDescent="0.25">
      <c r="R437" s="4"/>
      <c r="S437" s="4"/>
    </row>
    <row r="438" spans="18:19" x14ac:dyDescent="0.25">
      <c r="R438" s="4"/>
      <c r="S438" s="4"/>
    </row>
    <row r="439" spans="18:19" x14ac:dyDescent="0.25">
      <c r="R439" s="4"/>
      <c r="S439" s="4"/>
    </row>
    <row r="440" spans="18:19" x14ac:dyDescent="0.25">
      <c r="R440" s="4"/>
      <c r="S440" s="4"/>
    </row>
    <row r="441" spans="18:19" x14ac:dyDescent="0.25">
      <c r="R441" s="4"/>
      <c r="S441" s="4"/>
    </row>
    <row r="442" spans="18:19" x14ac:dyDescent="0.25">
      <c r="R442" s="4"/>
      <c r="S442" s="4"/>
    </row>
    <row r="443" spans="18:19" x14ac:dyDescent="0.25">
      <c r="R443" s="4"/>
      <c r="S443" s="4"/>
    </row>
    <row r="444" spans="18:19" x14ac:dyDescent="0.25">
      <c r="R444" s="4"/>
      <c r="S444" s="4"/>
    </row>
    <row r="445" spans="18:19" x14ac:dyDescent="0.25">
      <c r="R445" s="4"/>
      <c r="S445" s="4"/>
    </row>
    <row r="446" spans="18:19" x14ac:dyDescent="0.25">
      <c r="R446" s="4"/>
      <c r="S446" s="4"/>
    </row>
    <row r="447" spans="18:19" x14ac:dyDescent="0.25">
      <c r="R447" s="4"/>
      <c r="S447" s="4"/>
    </row>
    <row r="448" spans="18:19" x14ac:dyDescent="0.25">
      <c r="R448" s="4"/>
      <c r="S448" s="4"/>
    </row>
    <row r="449" spans="18:19" x14ac:dyDescent="0.25">
      <c r="R449" s="4"/>
      <c r="S449" s="4"/>
    </row>
    <row r="450" spans="18:19" x14ac:dyDescent="0.25">
      <c r="R450" s="4"/>
      <c r="S450" s="4"/>
    </row>
    <row r="451" spans="18:19" x14ac:dyDescent="0.25">
      <c r="R451" s="4"/>
      <c r="S451" s="4"/>
    </row>
    <row r="452" spans="18:19" x14ac:dyDescent="0.25">
      <c r="R452" s="4"/>
      <c r="S452" s="4"/>
    </row>
    <row r="453" spans="18:19" x14ac:dyDescent="0.25">
      <c r="R453" s="4"/>
      <c r="S453" s="4"/>
    </row>
    <row r="454" spans="18:19" x14ac:dyDescent="0.25">
      <c r="R454" s="4"/>
      <c r="S454" s="4"/>
    </row>
    <row r="455" spans="18:19" x14ac:dyDescent="0.25">
      <c r="R455" s="4"/>
      <c r="S455" s="4"/>
    </row>
    <row r="456" spans="18:19" x14ac:dyDescent="0.25">
      <c r="R456" s="4"/>
      <c r="S456" s="4"/>
    </row>
    <row r="457" spans="18:19" x14ac:dyDescent="0.25">
      <c r="R457" s="4"/>
      <c r="S457" s="4"/>
    </row>
    <row r="458" spans="18:19" x14ac:dyDescent="0.25">
      <c r="R458" s="4"/>
      <c r="S458" s="4"/>
    </row>
    <row r="459" spans="18:19" x14ac:dyDescent="0.25">
      <c r="R459" s="4"/>
      <c r="S459" s="4"/>
    </row>
    <row r="460" spans="18:19" x14ac:dyDescent="0.25">
      <c r="R460" s="4"/>
      <c r="S460" s="4"/>
    </row>
    <row r="461" spans="18:19" x14ac:dyDescent="0.25">
      <c r="R461" s="4"/>
      <c r="S461" s="4"/>
    </row>
    <row r="462" spans="18:19" x14ac:dyDescent="0.25">
      <c r="R462" s="4"/>
      <c r="S462" s="4"/>
    </row>
    <row r="463" spans="18:19" x14ac:dyDescent="0.25">
      <c r="R463" s="4"/>
      <c r="S463" s="4"/>
    </row>
    <row r="464" spans="18:19" x14ac:dyDescent="0.25">
      <c r="R464" s="4"/>
      <c r="S464" s="4"/>
    </row>
    <row r="465" spans="18:19" x14ac:dyDescent="0.25">
      <c r="R465" s="4"/>
      <c r="S465" s="4"/>
    </row>
    <row r="466" spans="18:19" x14ac:dyDescent="0.25">
      <c r="R466" s="4"/>
      <c r="S466" s="4"/>
    </row>
    <row r="467" spans="18:19" x14ac:dyDescent="0.25">
      <c r="R467" s="4"/>
      <c r="S467" s="4"/>
    </row>
    <row r="468" spans="18:19" x14ac:dyDescent="0.25">
      <c r="R468" s="4"/>
      <c r="S468" s="4"/>
    </row>
    <row r="469" spans="18:19" x14ac:dyDescent="0.25">
      <c r="R469" s="4"/>
      <c r="S469" s="4"/>
    </row>
    <row r="470" spans="18:19" x14ac:dyDescent="0.25">
      <c r="R470" s="4"/>
      <c r="S470" s="4"/>
    </row>
    <row r="471" spans="18:19" x14ac:dyDescent="0.25">
      <c r="R471" s="4"/>
      <c r="S471" s="4"/>
    </row>
    <row r="472" spans="18:19" x14ac:dyDescent="0.25">
      <c r="R472" s="4"/>
      <c r="S472" s="4"/>
    </row>
    <row r="473" spans="18:19" x14ac:dyDescent="0.25">
      <c r="R473" s="4"/>
      <c r="S473" s="4"/>
    </row>
    <row r="474" spans="18:19" x14ac:dyDescent="0.25">
      <c r="R474" s="4"/>
      <c r="S474" s="4"/>
    </row>
    <row r="475" spans="18:19" x14ac:dyDescent="0.25">
      <c r="R475" s="4"/>
      <c r="S475" s="4"/>
    </row>
    <row r="476" spans="18:19" x14ac:dyDescent="0.25">
      <c r="R476" s="4"/>
      <c r="S476" s="4"/>
    </row>
    <row r="477" spans="18:19" x14ac:dyDescent="0.25">
      <c r="R477" s="4"/>
      <c r="S477" s="4"/>
    </row>
    <row r="478" spans="18:19" x14ac:dyDescent="0.25">
      <c r="R478" s="4"/>
      <c r="S478" s="4"/>
    </row>
    <row r="479" spans="18:19" x14ac:dyDescent="0.25">
      <c r="R479" s="4"/>
      <c r="S479" s="4"/>
    </row>
    <row r="480" spans="18:19" x14ac:dyDescent="0.25">
      <c r="R480" s="4"/>
      <c r="S480" s="4"/>
    </row>
    <row r="481" spans="18:19" x14ac:dyDescent="0.25">
      <c r="R481" s="4"/>
      <c r="S481" s="4"/>
    </row>
    <row r="482" spans="18:19" x14ac:dyDescent="0.25">
      <c r="R482" s="4"/>
      <c r="S482" s="4"/>
    </row>
    <row r="483" spans="18:19" x14ac:dyDescent="0.25">
      <c r="R483" s="4"/>
      <c r="S483" s="4"/>
    </row>
    <row r="484" spans="18:19" x14ac:dyDescent="0.25">
      <c r="R484" s="4"/>
      <c r="S484" s="4"/>
    </row>
    <row r="485" spans="18:19" x14ac:dyDescent="0.25">
      <c r="R485" s="4"/>
      <c r="S485" s="4"/>
    </row>
    <row r="486" spans="18:19" x14ac:dyDescent="0.25">
      <c r="R486" s="4"/>
      <c r="S486" s="4"/>
    </row>
    <row r="487" spans="18:19" x14ac:dyDescent="0.25">
      <c r="R487" s="4"/>
      <c r="S487" s="4"/>
    </row>
    <row r="488" spans="18:19" x14ac:dyDescent="0.25">
      <c r="R488" s="4"/>
      <c r="S488" s="4"/>
    </row>
    <row r="489" spans="18:19" x14ac:dyDescent="0.25">
      <c r="R489" s="4"/>
      <c r="S489" s="4"/>
    </row>
    <row r="490" spans="18:19" x14ac:dyDescent="0.25">
      <c r="R490" s="4"/>
      <c r="S490" s="4"/>
    </row>
    <row r="491" spans="18:19" x14ac:dyDescent="0.25">
      <c r="R491" s="4"/>
      <c r="S491" s="4"/>
    </row>
    <row r="492" spans="18:19" x14ac:dyDescent="0.25">
      <c r="R492" s="4"/>
      <c r="S492" s="4"/>
    </row>
    <row r="493" spans="18:19" x14ac:dyDescent="0.25">
      <c r="R493" s="4"/>
      <c r="S493" s="4"/>
    </row>
    <row r="494" spans="18:19" x14ac:dyDescent="0.25">
      <c r="R494" s="4"/>
      <c r="S494" s="4"/>
    </row>
    <row r="495" spans="18:19" x14ac:dyDescent="0.25">
      <c r="R495" s="4"/>
      <c r="S495" s="4"/>
    </row>
    <row r="496" spans="18:19" x14ac:dyDescent="0.25">
      <c r="R496" s="4"/>
      <c r="S496" s="4"/>
    </row>
    <row r="497" spans="18:19" x14ac:dyDescent="0.25">
      <c r="R497" s="4"/>
      <c r="S497" s="4"/>
    </row>
    <row r="498" spans="18:19" x14ac:dyDescent="0.25">
      <c r="R498" s="4"/>
      <c r="S498" s="4"/>
    </row>
    <row r="499" spans="18:19" x14ac:dyDescent="0.25">
      <c r="R499" s="4"/>
      <c r="S499" s="4"/>
    </row>
    <row r="500" spans="18:19" x14ac:dyDescent="0.25">
      <c r="R500" s="4"/>
      <c r="S500" s="4"/>
    </row>
    <row r="501" spans="18:19" x14ac:dyDescent="0.25">
      <c r="R501" s="4"/>
      <c r="S501" s="4"/>
    </row>
    <row r="502" spans="18:19" x14ac:dyDescent="0.25">
      <c r="R502" s="4"/>
      <c r="S502" s="4"/>
    </row>
    <row r="503" spans="18:19" x14ac:dyDescent="0.25">
      <c r="R503" s="4"/>
      <c r="S503" s="4"/>
    </row>
    <row r="504" spans="18:19" x14ac:dyDescent="0.25">
      <c r="R504" s="4"/>
      <c r="S504" s="4"/>
    </row>
    <row r="505" spans="18:19" x14ac:dyDescent="0.25">
      <c r="R505" s="4"/>
      <c r="S505" s="4"/>
    </row>
    <row r="506" spans="18:19" x14ac:dyDescent="0.25">
      <c r="R506" s="4"/>
      <c r="S506" s="4"/>
    </row>
    <row r="507" spans="18:19" x14ac:dyDescent="0.25">
      <c r="R507" s="4"/>
      <c r="S507" s="4"/>
    </row>
    <row r="508" spans="18:19" x14ac:dyDescent="0.25">
      <c r="R508" s="4"/>
      <c r="S508" s="4"/>
    </row>
    <row r="509" spans="18:19" x14ac:dyDescent="0.25">
      <c r="R509" s="4"/>
      <c r="S509" s="4"/>
    </row>
    <row r="510" spans="18:19" x14ac:dyDescent="0.25">
      <c r="R510" s="4"/>
      <c r="S510" s="4"/>
    </row>
    <row r="511" spans="18:19" x14ac:dyDescent="0.25">
      <c r="R511" s="4"/>
      <c r="S511" s="4"/>
    </row>
    <row r="512" spans="18:19" x14ac:dyDescent="0.25">
      <c r="R512" s="4"/>
      <c r="S512" s="4"/>
    </row>
    <row r="513" spans="18:19" x14ac:dyDescent="0.25">
      <c r="R513" s="4"/>
      <c r="S513" s="4"/>
    </row>
    <row r="514" spans="18:19" x14ac:dyDescent="0.25">
      <c r="R514" s="4"/>
      <c r="S514" s="4"/>
    </row>
    <row r="515" spans="18:19" x14ac:dyDescent="0.25">
      <c r="R515" s="4"/>
      <c r="S515" s="4"/>
    </row>
  </sheetData>
  <mergeCells count="1">
    <mergeCell ref="H19:J2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A28982AB-EB9F-4CC8-9112-0C3941D3A116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8C44F11B-7C82-4223-BA90-1A4082CB2519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A9358052-41EF-4EB1-8B31-8A3F64273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Count Child</vt:lpstr>
      <vt:lpstr>Dashboard</vt:lpstr>
      <vt:lpstr>Data</vt:lpstr>
      <vt:lpstr>Salary Department</vt:lpstr>
      <vt:lpstr>rank for sallary</vt:lpstr>
      <vt:lpstr>Top 10 Salary</vt:lpstr>
      <vt:lpstr>Map</vt:lpstr>
      <vt:lpstr>WorkSheet</vt:lpstr>
      <vt:lpstr>employes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Nasip Ahmet</dc:creator>
  <cp:lastModifiedBy>Nasip Ahmet</cp:lastModifiedBy>
  <dcterms:created xsi:type="dcterms:W3CDTF">2021-05-24T20:07:35Z</dcterms:created>
  <dcterms:modified xsi:type="dcterms:W3CDTF">2024-05-14T18:16:27Z</dcterms:modified>
</cp:coreProperties>
</file>